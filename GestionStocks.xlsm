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Desktop\fichiers\"/>
    </mc:Choice>
  </mc:AlternateContent>
  <xr:revisionPtr revIDLastSave="0" documentId="13_ncr:1_{DA1CB55B-4E3E-4470-98A9-0EB72EB82D2A}" xr6:coauthVersionLast="47" xr6:coauthVersionMax="47" xr10:uidLastSave="{00000000-0000-0000-0000-000000000000}"/>
  <bookViews>
    <workbookView xWindow="-120" yWindow="-120" windowWidth="20730" windowHeight="11040" activeTab="5" xr2:uid="{9B22DC68-00C8-4464-8157-452A0636CF3F}"/>
  </bookViews>
  <sheets>
    <sheet name="Home" sheetId="4" r:id="rId1"/>
    <sheet name="Articles" sheetId="2" r:id="rId2"/>
    <sheet name="NN" sheetId="9" r:id="rId3"/>
    <sheet name="Feuil2" sheetId="10" r:id="rId4"/>
    <sheet name="Commandes" sheetId="3" r:id="rId5"/>
    <sheet name="B.Cmd" sheetId="1" r:id="rId6"/>
    <sheet name="Booking" sheetId="5" r:id="rId7"/>
    <sheet name="Fournisseurs" sheetId="6" r:id="rId8"/>
    <sheet name="Clients" sheetId="7" r:id="rId9"/>
    <sheet name="Config" sheetId="8" r:id="rId10"/>
  </sheets>
  <definedNames>
    <definedName name="_xlnm._FilterDatabase" localSheetId="6" hidden="1">Booking!$A$1:$I$5</definedName>
    <definedName name="_xleta.IF" hidden="1" xlm="1">#NAME?</definedName>
    <definedName name="A">Commandes!$A:$A</definedName>
    <definedName name="Articles">Articles!$A$2:$A$12</definedName>
    <definedName name="Client">Clients!$A$2:$A$11</definedName>
    <definedName name="Cmd">Commandes!$A$2:$A$1048576</definedName>
    <definedName name="Fournisseur">Fournisseurs!$A$2:$A$11</definedName>
    <definedName name="Fournisseurs">Fournisseurs!$A$2:$A$9</definedName>
    <definedName name="Nombre">Booking!$G$2:$G$5</definedName>
    <definedName name="Ord">Commandes!$A:$A</definedName>
    <definedName name="Orde">Commandes!$A$2:$A$3</definedName>
    <definedName name="Order">Commandes!$A$2:$A$3</definedName>
    <definedName name="Order1">Commandes!$A$2:$A$3</definedName>
    <definedName name="part_name">Articles!$B$2:$B$12</definedName>
    <definedName name="part_prix">Articles!$D$2:$D$12</definedName>
    <definedName name="Type">Booking!$A$2:$A$5</definedName>
    <definedName name="_xlnm.Print_Area" localSheetId="5">B.Cmd!$B$1:$H$37</definedName>
    <definedName name="_xlnm.Print_Area" localSheetId="3">Feuil2!$C$2:$D$32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0" l="1"/>
  <c r="D3" i="10" s="1"/>
  <c r="M9" i="9"/>
  <c r="L18" i="9" s="1"/>
  <c r="L9" i="9"/>
  <c r="H9" i="2"/>
  <c r="I3" i="3" a="1"/>
  <c r="I3" i="3" s="1"/>
  <c r="J3" i="3" s="1"/>
  <c r="I4" i="3" a="1"/>
  <c r="I4" i="3" s="1"/>
  <c r="J4" i="3" s="1"/>
  <c r="I5" i="3" a="1"/>
  <c r="I5" i="3" s="1"/>
  <c r="J5" i="3" s="1"/>
  <c r="I6" i="3" a="1"/>
  <c r="I6" i="3"/>
  <c r="I7" i="3" a="1"/>
  <c r="I7" i="3" s="1"/>
  <c r="I8" i="3" a="1"/>
  <c r="I8" i="3" s="1"/>
  <c r="J8" i="3" s="1"/>
  <c r="I9" i="3" a="1"/>
  <c r="I9" i="3" s="1"/>
  <c r="I10" i="3" a="1"/>
  <c r="I10" i="3"/>
  <c r="I2" i="3" a="1"/>
  <c r="I2" i="3" s="1"/>
  <c r="J2" i="3" s="1"/>
  <c r="E3" i="2"/>
  <c r="H3" i="2" s="1"/>
  <c r="I3" i="2" s="1"/>
  <c r="E4" i="2"/>
  <c r="H4" i="2" s="1"/>
  <c r="I4" i="2" s="1"/>
  <c r="E5" i="2"/>
  <c r="H5" i="2" s="1"/>
  <c r="I5" i="2" s="1"/>
  <c r="E6" i="2"/>
  <c r="E7" i="2"/>
  <c r="H7" i="2" s="1"/>
  <c r="I7" i="2" s="1"/>
  <c r="E8" i="2"/>
  <c r="E9" i="2"/>
  <c r="E10" i="2"/>
  <c r="H10" i="2" s="1"/>
  <c r="I10" i="2" s="1"/>
  <c r="E11" i="2"/>
  <c r="H11" i="2" s="1"/>
  <c r="I11" i="2" s="1"/>
  <c r="E12" i="2"/>
  <c r="H12" i="2" s="1"/>
  <c r="I12" i="2" s="1"/>
  <c r="E2" i="2"/>
  <c r="H2" i="2" s="1"/>
  <c r="I2" i="2" s="1"/>
  <c r="H6" i="2"/>
  <c r="I6" i="2" s="1"/>
  <c r="J6" i="3"/>
  <c r="B10" i="1"/>
  <c r="H5" i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17" i="1" a="1"/>
  <c r="F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E30" i="1" a="1"/>
  <c r="E30" i="1" s="1"/>
  <c r="E17" i="1" a="1"/>
  <c r="E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28" i="1" a="1"/>
  <c r="D28" i="1" s="1"/>
  <c r="D29" i="1" a="1"/>
  <c r="D29" i="1" s="1"/>
  <c r="D30" i="1" a="1"/>
  <c r="D30" i="1" s="1"/>
  <c r="D17" i="1" a="1"/>
  <c r="D17" i="1" s="1"/>
  <c r="C18" i="1" a="1"/>
  <c r="C18" i="1" s="1"/>
  <c r="B18" i="1" s="1"/>
  <c r="C19" i="1" a="1"/>
  <c r="C19" i="1" s="1"/>
  <c r="B19" i="1" s="1"/>
  <c r="C20" i="1" a="1"/>
  <c r="C20" i="1" s="1"/>
  <c r="B20" i="1" s="1"/>
  <c r="C21" i="1" a="1"/>
  <c r="C21" i="1" s="1"/>
  <c r="B21" i="1" s="1"/>
  <c r="C22" i="1" a="1"/>
  <c r="C22" i="1" s="1"/>
  <c r="B22" i="1" s="1"/>
  <c r="C23" i="1" a="1"/>
  <c r="C23" i="1" s="1"/>
  <c r="B23" i="1" s="1"/>
  <c r="C24" i="1" a="1"/>
  <c r="C24" i="1" s="1"/>
  <c r="B24" i="1" s="1"/>
  <c r="C25" i="1" a="1"/>
  <c r="C25" i="1" s="1"/>
  <c r="B25" i="1" s="1"/>
  <c r="C26" i="1" a="1"/>
  <c r="C26" i="1" s="1"/>
  <c r="B26" i="1" s="1"/>
  <c r="C27" i="1" a="1"/>
  <c r="C27" i="1" s="1"/>
  <c r="B27" i="1" s="1"/>
  <c r="C28" i="1" a="1"/>
  <c r="C28" i="1" s="1"/>
  <c r="B28" i="1" s="1"/>
  <c r="C29" i="1" a="1"/>
  <c r="C29" i="1" s="1"/>
  <c r="B29" i="1" s="1"/>
  <c r="C30" i="1" a="1"/>
  <c r="C30" i="1" s="1"/>
  <c r="B30" i="1" s="1"/>
  <c r="C17" i="1" a="1"/>
  <c r="C17" i="1" s="1"/>
  <c r="B17" i="1" s="1"/>
  <c r="G10" i="1"/>
  <c r="G14" i="1" s="1"/>
  <c r="B33" i="1"/>
  <c r="B13" i="1"/>
  <c r="B14" i="1"/>
  <c r="B12" i="1"/>
  <c r="B11" i="1"/>
  <c r="C28" i="8"/>
  <c r="G4" i="3"/>
  <c r="I3" i="5"/>
  <c r="H3" i="5" s="1"/>
  <c r="I4" i="5"/>
  <c r="I5" i="5"/>
  <c r="I2" i="5"/>
  <c r="H2" i="5" s="1"/>
  <c r="F7" i="2"/>
  <c r="H8" i="2"/>
  <c r="I8" i="2" s="1"/>
  <c r="I9" i="2"/>
  <c r="C17" i="8"/>
  <c r="F5" i="2"/>
  <c r="F8" i="2"/>
  <c r="F9" i="2"/>
  <c r="F10" i="2"/>
  <c r="F11" i="2"/>
  <c r="F12" i="2"/>
  <c r="F6" i="2"/>
  <c r="G3" i="3"/>
  <c r="G5" i="3"/>
  <c r="G18" i="1" s="1" a="1"/>
  <c r="G18" i="1" s="1"/>
  <c r="G6" i="3"/>
  <c r="G17" i="1" s="1" a="1"/>
  <c r="G17" i="1" s="1"/>
  <c r="G7" i="3"/>
  <c r="G8" i="3"/>
  <c r="G9" i="3"/>
  <c r="G10" i="3"/>
  <c r="G2" i="3"/>
  <c r="J7" i="3"/>
  <c r="J9" i="3"/>
  <c r="J10" i="3"/>
  <c r="H9" i="7"/>
  <c r="E9" i="7"/>
  <c r="E8" i="7"/>
  <c r="H8" i="7" s="1"/>
  <c r="H7" i="6"/>
  <c r="E8" i="6"/>
  <c r="H8" i="6" s="1"/>
  <c r="E10" i="6"/>
  <c r="H10" i="6" s="1"/>
  <c r="E11" i="6"/>
  <c r="H11" i="6" s="1"/>
  <c r="E9" i="6"/>
  <c r="H9" i="6" s="1"/>
  <c r="E7" i="6"/>
  <c r="E6" i="6"/>
  <c r="H6" i="6" s="1"/>
  <c r="E5" i="6"/>
  <c r="H5" i="6" s="1"/>
  <c r="E4" i="6"/>
  <c r="H4" i="6" s="1"/>
  <c r="E3" i="6"/>
  <c r="H3" i="6" s="1"/>
  <c r="E2" i="6"/>
  <c r="H2" i="6" s="1"/>
  <c r="E3" i="7"/>
  <c r="H3" i="7" s="1"/>
  <c r="E4" i="7"/>
  <c r="H4" i="7" s="1"/>
  <c r="E5" i="7"/>
  <c r="H5" i="7" s="1"/>
  <c r="E6" i="7"/>
  <c r="H6" i="7" s="1"/>
  <c r="E7" i="7"/>
  <c r="H7" i="7" s="1"/>
  <c r="E10" i="7"/>
  <c r="H10" i="7" s="1"/>
  <c r="E11" i="7"/>
  <c r="H11" i="7" s="1"/>
  <c r="E2" i="7"/>
  <c r="H2" i="7" s="1"/>
  <c r="D8" i="8"/>
  <c r="D6" i="8"/>
  <c r="D7" i="8"/>
  <c r="G34" i="1" l="1"/>
  <c r="G35" i="1" s="1"/>
  <c r="G36" i="1" s="1"/>
  <c r="G11" i="1"/>
  <c r="G13" i="1"/>
  <c r="G12" i="1"/>
  <c r="H4" i="5"/>
  <c r="H5" i="5"/>
  <c r="F4" i="2"/>
  <c r="C15" i="8"/>
  <c r="F2" i="2"/>
  <c r="C16" i="8"/>
  <c r="F3" i="2"/>
  <c r="C18" i="8"/>
  <c r="C14" i="8" l="1"/>
  <c r="C21" i="8" l="1"/>
  <c r="C19" i="8"/>
  <c r="C2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<sst xmlns="http://schemas.openxmlformats.org/spreadsheetml/2006/main" count="301" uniqueCount="180">
  <si>
    <t>Name</t>
  </si>
  <si>
    <t>Description</t>
  </si>
  <si>
    <t>Prix U</t>
  </si>
  <si>
    <t>Stock</t>
  </si>
  <si>
    <t>Stock value</t>
  </si>
  <si>
    <t>Min Stock</t>
  </si>
  <si>
    <t>Flag</t>
  </si>
  <si>
    <t>Status</t>
  </si>
  <si>
    <t>Order</t>
  </si>
  <si>
    <t>Client1</t>
  </si>
  <si>
    <t>Client2</t>
  </si>
  <si>
    <t>Client3</t>
  </si>
  <si>
    <t>Client4</t>
  </si>
  <si>
    <t>Client5</t>
  </si>
  <si>
    <t>Client6</t>
  </si>
  <si>
    <t>Client7</t>
  </si>
  <si>
    <t>Client8</t>
  </si>
  <si>
    <t>Adress</t>
  </si>
  <si>
    <t>Rue de gauche 1</t>
  </si>
  <si>
    <t>Rue de gauche 2</t>
  </si>
  <si>
    <t>Rue de gauche 3</t>
  </si>
  <si>
    <t>Rue de gauche 4</t>
  </si>
  <si>
    <t>Rue de gauche 5</t>
  </si>
  <si>
    <t>Rue de gauche 6</t>
  </si>
  <si>
    <t>Rue de gauche 7</t>
  </si>
  <si>
    <t>Rue de gauche 8</t>
  </si>
  <si>
    <t>City</t>
  </si>
  <si>
    <t>Dakar</t>
  </si>
  <si>
    <t>Phone</t>
  </si>
  <si>
    <t>ravidikatsou.fils@gmail.com</t>
  </si>
  <si>
    <t>Mail</t>
  </si>
  <si>
    <t>group</t>
  </si>
  <si>
    <t>Contry</t>
  </si>
  <si>
    <t>Senegal</t>
  </si>
  <si>
    <t>Supplier 1</t>
  </si>
  <si>
    <t>Supplier 2</t>
  </si>
  <si>
    <t>Supplier 3</t>
  </si>
  <si>
    <t>Supplier 4</t>
  </si>
  <si>
    <t>Supplier 5</t>
  </si>
  <si>
    <t>Supplier 6</t>
  </si>
  <si>
    <t>Supplier 7</t>
  </si>
  <si>
    <t>Supplier 8</t>
  </si>
  <si>
    <t>Rue de Droite 1</t>
  </si>
  <si>
    <t>Rue de Droite 2</t>
  </si>
  <si>
    <t>Rue de Droite 3</t>
  </si>
  <si>
    <t>Rue de Droite 4</t>
  </si>
  <si>
    <t>Rue de Droite 5</t>
  </si>
  <si>
    <t>Rue de Droite 6</t>
  </si>
  <si>
    <t>Rue de Droite 7</t>
  </si>
  <si>
    <t>Rue de Droite 8</t>
  </si>
  <si>
    <t>Date</t>
  </si>
  <si>
    <t>Total Prize</t>
  </si>
  <si>
    <t>Suffixe</t>
  </si>
  <si>
    <t>ORD-</t>
  </si>
  <si>
    <t>Article</t>
  </si>
  <si>
    <t>ART-</t>
  </si>
  <si>
    <t>Booking</t>
  </si>
  <si>
    <t>BOO-</t>
  </si>
  <si>
    <t>Codes Postaux</t>
  </si>
  <si>
    <t>Kaffrine</t>
  </si>
  <si>
    <t>Kédougou</t>
  </si>
  <si>
    <t>Sédhiou</t>
  </si>
  <si>
    <t>Diourbel</t>
  </si>
  <si>
    <t>Fatick</t>
  </si>
  <si>
    <t>Kolda</t>
  </si>
  <si>
    <t>Tambacounda</t>
  </si>
  <si>
    <t>Matam</t>
  </si>
  <si>
    <t>Louga</t>
  </si>
  <si>
    <t>Zinguinchor</t>
  </si>
  <si>
    <t>Kaolack</t>
  </si>
  <si>
    <t>Saint-Louis</t>
  </si>
  <si>
    <t>Thiès</t>
  </si>
  <si>
    <t>Code Postal</t>
  </si>
  <si>
    <t>N° part</t>
  </si>
  <si>
    <t>ART-00001</t>
  </si>
  <si>
    <t>Type</t>
  </si>
  <si>
    <t>N° Facture</t>
  </si>
  <si>
    <t>N° bon de Commande</t>
  </si>
  <si>
    <t>Fournisseur</t>
  </si>
  <si>
    <t>Client</t>
  </si>
  <si>
    <t>N° Article</t>
  </si>
  <si>
    <t>Ranking</t>
  </si>
  <si>
    <t>Supplier 9</t>
  </si>
  <si>
    <t>Supplier 10</t>
  </si>
  <si>
    <t>Rue de Droite 9</t>
  </si>
  <si>
    <t>Rue de Droite 10</t>
  </si>
  <si>
    <t>Client9</t>
  </si>
  <si>
    <t>Client10</t>
  </si>
  <si>
    <t>Rue de gauche 9</t>
  </si>
  <si>
    <t>Rue de gauche 10</t>
  </si>
  <si>
    <t>ART-00002</t>
  </si>
  <si>
    <t>entrée</t>
  </si>
  <si>
    <t>Nombre</t>
  </si>
  <si>
    <t>N° de Commande</t>
  </si>
  <si>
    <t>Nom d'article</t>
  </si>
  <si>
    <t>Quantité</t>
  </si>
  <si>
    <t>Prix</t>
  </si>
  <si>
    <t>Contrôle</t>
  </si>
  <si>
    <t>produit local</t>
  </si>
  <si>
    <t>ORD-00001</t>
  </si>
  <si>
    <t>Sortie</t>
  </si>
  <si>
    <t>Tableau de bord</t>
  </si>
  <si>
    <t>Valeur du stock</t>
  </si>
  <si>
    <t>Article en Commande</t>
  </si>
  <si>
    <t>Article Critique</t>
  </si>
  <si>
    <t>Nombre d'article en stock</t>
  </si>
  <si>
    <t>Volume du stock</t>
  </si>
  <si>
    <t>Top 3 articles Vendus</t>
  </si>
  <si>
    <t>ORD-00002</t>
  </si>
  <si>
    <t>sBr</t>
  </si>
  <si>
    <r>
      <rPr>
        <sz val="72"/>
        <color rgb="FFFF0000"/>
        <rFont val="Broadway"/>
        <family val="5"/>
      </rPr>
      <t>s</t>
    </r>
    <r>
      <rPr>
        <sz val="72"/>
        <color theme="3" tint="0.249977111117893"/>
        <rFont val="Broadway"/>
        <family val="5"/>
      </rPr>
      <t>Br</t>
    </r>
  </si>
  <si>
    <t>N° Cmd :</t>
  </si>
  <si>
    <t>Le numéro suivant doit apparaitre sur toute la correspondance</t>
  </si>
  <si>
    <t>annexe, les papiers de livraisons et les factures</t>
  </si>
  <si>
    <t>BON DE COMMANDE</t>
  </si>
  <si>
    <t>Date :</t>
  </si>
  <si>
    <t>Shipping adress :</t>
  </si>
  <si>
    <t>Fournisseur :</t>
  </si>
  <si>
    <t>N°</t>
  </si>
  <si>
    <t>Nom</t>
  </si>
  <si>
    <t>Total</t>
  </si>
  <si>
    <t>Qté</t>
  </si>
  <si>
    <t>Total TTC :</t>
  </si>
  <si>
    <t>TVA21% :</t>
  </si>
  <si>
    <t>Total :</t>
  </si>
  <si>
    <t>Bon de commande</t>
  </si>
  <si>
    <t>Enteprise</t>
  </si>
  <si>
    <t>Adresse</t>
  </si>
  <si>
    <t>Ville</t>
  </si>
  <si>
    <t>Pays</t>
  </si>
  <si>
    <t>Tel</t>
  </si>
  <si>
    <t>Conditions</t>
  </si>
  <si>
    <r>
      <rPr>
        <b/>
        <sz val="8"/>
        <color theme="1"/>
        <rFont val="Aptos Narrow"/>
        <family val="2"/>
        <scheme val="minor"/>
      </rPr>
      <t xml:space="preserve">1. Retour &amp; échange: </t>
    </r>
    <r>
      <rPr>
        <sz val="8"/>
        <color theme="1"/>
        <rFont val="Aptos Narrow"/>
        <family val="2"/>
        <scheme val="minor"/>
      </rPr>
      <t xml:space="preserve">Les produits défectueux peuvent être retournés sous 48 heures, frais à charge du fournisseur. 
</t>
    </r>
    <r>
      <rPr>
        <b/>
        <sz val="8"/>
        <color theme="1"/>
        <rFont val="Aptos Narrow"/>
        <family val="2"/>
        <scheme val="minor"/>
      </rPr>
      <t>2. Garantie :</t>
    </r>
    <r>
      <rPr>
        <sz val="8"/>
        <color theme="1"/>
        <rFont val="Aptos Narrow"/>
        <family val="2"/>
        <scheme val="minor"/>
      </rPr>
      <t xml:space="preserve"> Couverture de 72 heures, excluant l’usure normale et une mauvaise utilisation.  
</t>
    </r>
    <r>
      <rPr>
        <b/>
        <sz val="8"/>
        <color theme="1"/>
        <rFont val="Aptos Narrow"/>
        <family val="2"/>
        <scheme val="minor"/>
      </rPr>
      <t>3. Pénalités  :</t>
    </r>
    <r>
      <rPr>
        <sz val="8"/>
        <color theme="1"/>
        <rFont val="Aptos Narrow"/>
        <family val="2"/>
        <scheme val="minor"/>
      </rPr>
      <t xml:space="preserve"> Retard de livraison ou paiement entraîne une pénalité de 50 euros.
</t>
    </r>
    <r>
      <rPr>
        <b/>
        <sz val="8"/>
        <color theme="1"/>
        <rFont val="Aptos Narrow"/>
        <family val="2"/>
        <scheme val="minor"/>
      </rPr>
      <t>4.Force majeure &amp; résiliation :</t>
    </r>
    <r>
      <rPr>
        <sz val="8"/>
        <color theme="1"/>
        <rFont val="Aptos Narrow"/>
        <family val="2"/>
        <scheme val="minor"/>
      </rPr>
      <t xml:space="preserve"> Contrat résiliable avec préavis de 3 jous en cas de non-respect des engagements.</t>
    </r>
  </si>
  <si>
    <t>Hlm Grand Yoff</t>
  </si>
  <si>
    <t>Sénégal</t>
  </si>
  <si>
    <t>NB</t>
  </si>
  <si>
    <t>Piment</t>
  </si>
  <si>
    <t>Oignon</t>
  </si>
  <si>
    <t>produit importé du congo</t>
  </si>
  <si>
    <t>Supplier 1-ODR-00001</t>
  </si>
  <si>
    <t>Supplier 1-ODR-00002</t>
  </si>
  <si>
    <t>ART-00003</t>
  </si>
  <si>
    <t>Mangue</t>
  </si>
  <si>
    <t>importé</t>
  </si>
  <si>
    <t>ORD-00003</t>
  </si>
  <si>
    <t>ORD-00004</t>
  </si>
  <si>
    <t>ORD-00005</t>
  </si>
  <si>
    <t>AOP</t>
  </si>
  <si>
    <t>¨POP</t>
  </si>
  <si>
    <t>OKIL</t>
  </si>
  <si>
    <t>KILOU</t>
  </si>
  <si>
    <t>IOLK</t>
  </si>
  <si>
    <t>LLOKJ</t>
  </si>
  <si>
    <t>HND</t>
  </si>
  <si>
    <t>LOLO</t>
  </si>
  <si>
    <t>lundi</t>
  </si>
  <si>
    <t>mardi</t>
  </si>
  <si>
    <t>mercredi</t>
  </si>
  <si>
    <t>jeudi</t>
  </si>
  <si>
    <t>oui</t>
  </si>
  <si>
    <t>Oui</t>
  </si>
  <si>
    <t>A</t>
  </si>
  <si>
    <t>C</t>
  </si>
  <si>
    <t>D</t>
  </si>
  <si>
    <t>E</t>
  </si>
  <si>
    <t>H</t>
  </si>
  <si>
    <t>QQ</t>
  </si>
  <si>
    <t>LL</t>
  </si>
  <si>
    <t>K</t>
  </si>
  <si>
    <t>CLIENTS</t>
  </si>
  <si>
    <t>BC</t>
  </si>
  <si>
    <t>AUCHAN YOFF</t>
  </si>
  <si>
    <t>Dalifort</t>
  </si>
  <si>
    <t>maristes</t>
  </si>
  <si>
    <t>thies</t>
  </si>
  <si>
    <t>saly</t>
  </si>
  <si>
    <t>liberté 6</t>
  </si>
  <si>
    <t>Casino mbao</t>
  </si>
  <si>
    <t>virage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</si>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</sst>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* #,##0\ &quot;CFA&quot;_-;\-* #,##0\ &quot;CFA&quot;_-;_-* &quot;-&quot;\ &quot;CFA&quot;_-;_-@_-"/>
    <numFmt numFmtId="164" formatCode="_-* #,##0.00\ [$€-40C]_-;\-* #,##0.00\ [$€-40C]_-;_-* &quot;-&quot;??\ [$€-40C]_-;_-@_-"/>
    <numFmt numFmtId="165" formatCode="dddd"/>
  </numFmts>
  <fonts count="1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72"/>
      <color theme="1"/>
      <name val="Broadway"/>
      <family val="5"/>
    </font>
    <font>
      <sz val="72"/>
      <color rgb="FFFF0000"/>
      <name val="Broadway"/>
      <family val="5"/>
    </font>
    <font>
      <sz val="72"/>
      <color theme="3" tint="0.249977111117893"/>
      <name val="Broadway"/>
      <family val="5"/>
    </font>
    <font>
      <sz val="8"/>
      <color theme="1"/>
      <name val="Aptos Narrow"/>
      <family val="2"/>
      <scheme val="minor"/>
    </font>
    <font>
      <b/>
      <sz val="14"/>
      <color theme="1"/>
      <name val="Arial Black"/>
      <family val="2"/>
    </font>
    <font>
      <b/>
      <sz val="8"/>
      <color theme="1"/>
      <name val="Aptos Narrow"/>
      <family val="2"/>
      <scheme val="minor"/>
    </font>
    <font>
      <u/>
      <sz val="8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2" fontId="5" fillId="0" borderId="0" applyFont="0" applyFill="0" applyBorder="0" applyAlignment="0" applyProtection="0"/>
  </cellStyleXfs>
  <cellXfs count="107">
    <xf numFmtId="0" fontId="0" fillId="0" borderId="0" xfId="0"/>
    <xf numFmtId="0" fontId="0" fillId="0" borderId="1" xfId="0" applyBorder="1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/>
    <xf numFmtId="164" fontId="0" fillId="0" borderId="0" xfId="0" applyNumberFormat="1"/>
    <xf numFmtId="0" fontId="5" fillId="0" borderId="1" xfId="1" applyFon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0" fillId="0" borderId="2" xfId="0" applyBorder="1"/>
    <xf numFmtId="0" fontId="0" fillId="3" borderId="0" xfId="0" applyFill="1"/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3" borderId="1" xfId="0" applyFill="1" applyBorder="1"/>
    <xf numFmtId="0" fontId="5" fillId="0" borderId="1" xfId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5" borderId="1" xfId="0" applyFill="1" applyBorder="1" applyAlignment="1">
      <alignment horizontal="center" vertical="center"/>
    </xf>
    <xf numFmtId="22" fontId="0" fillId="5" borderId="1" xfId="0" applyNumberFormat="1" applyFill="1" applyBorder="1" applyAlignment="1">
      <alignment horizontal="center" vertical="center"/>
    </xf>
    <xf numFmtId="164" fontId="0" fillId="5" borderId="1" xfId="2" applyNumberFormat="1" applyFont="1" applyFill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3" fillId="2" borderId="0" xfId="2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2" borderId="0" xfId="0" applyFont="1" applyFill="1"/>
    <xf numFmtId="0" fontId="0" fillId="4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4" xfId="0" applyFont="1" applyBorder="1"/>
    <xf numFmtId="0" fontId="0" fillId="0" borderId="4" xfId="0" applyBorder="1"/>
    <xf numFmtId="0" fontId="0" fillId="0" borderId="5" xfId="0" applyBorder="1"/>
    <xf numFmtId="0" fontId="4" fillId="0" borderId="7" xfId="0" applyFont="1" applyBorder="1" applyAlignment="1">
      <alignment horizontal="center" vertical="center"/>
    </xf>
    <xf numFmtId="0" fontId="0" fillId="0" borderId="9" xfId="0" applyBorder="1"/>
    <xf numFmtId="164" fontId="0" fillId="0" borderId="7" xfId="0" applyNumberFormat="1" applyBorder="1"/>
    <xf numFmtId="164" fontId="4" fillId="6" borderId="6" xfId="0" applyNumberFormat="1" applyFont="1" applyFill="1" applyBorder="1"/>
    <xf numFmtId="14" fontId="0" fillId="0" borderId="0" xfId="0" applyNumberFormat="1" applyAlignment="1">
      <alignment horizontal="left"/>
    </xf>
    <xf numFmtId="0" fontId="0" fillId="0" borderId="10" xfId="0" applyBorder="1"/>
    <xf numFmtId="0" fontId="0" fillId="4" borderId="8" xfId="0" applyFill="1" applyBorder="1"/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3" fillId="6" borderId="8" xfId="1" applyFont="1" applyFill="1" applyBorder="1" applyAlignment="1">
      <alignment horizontal="center" vertical="center" wrapText="1"/>
    </xf>
    <xf numFmtId="0" fontId="14" fillId="0" borderId="3" xfId="0" applyFont="1" applyBorder="1" applyAlignment="1">
      <alignment horizontal="center"/>
    </xf>
    <xf numFmtId="164" fontId="0" fillId="4" borderId="1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left" vertical="top"/>
    </xf>
    <xf numFmtId="0" fontId="0" fillId="4" borderId="17" xfId="0" applyFill="1" applyBorder="1" applyAlignment="1">
      <alignment horizontal="center" vertic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1" fillId="2" borderId="1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/>
    </xf>
    <xf numFmtId="1" fontId="0" fillId="4" borderId="21" xfId="0" applyNumberFormat="1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" xfId="0" applyFill="1" applyBorder="1"/>
    <xf numFmtId="0" fontId="0" fillId="10" borderId="23" xfId="0" applyFill="1" applyBorder="1"/>
    <xf numFmtId="0" fontId="0" fillId="10" borderId="24" xfId="0" applyFill="1" applyBorder="1"/>
    <xf numFmtId="0" fontId="0" fillId="10" borderId="25" xfId="0" applyFill="1" applyBorder="1"/>
    <xf numFmtId="14" fontId="0" fillId="0" borderId="0" xfId="0" applyNumberFormat="1"/>
    <xf numFmtId="165" fontId="0" fillId="0" borderId="0" xfId="0" applyNumberFormat="1"/>
    <xf numFmtId="0" fontId="0" fillId="0" borderId="22" xfId="0" applyBorder="1"/>
    <xf numFmtId="0" fontId="0" fillId="3" borderId="22" xfId="0" applyFill="1" applyBorder="1"/>
    <xf numFmtId="14" fontId="0" fillId="13" borderId="22" xfId="0" applyNumberFormat="1" applyFill="1" applyBorder="1"/>
    <xf numFmtId="0" fontId="0" fillId="13" borderId="26" xfId="0" applyFill="1" applyBorder="1"/>
    <xf numFmtId="0" fontId="0" fillId="13" borderId="27" xfId="0" applyFill="1" applyBorder="1"/>
    <xf numFmtId="0" fontId="0" fillId="13" borderId="28" xfId="0" applyFill="1" applyBorder="1"/>
    <xf numFmtId="14" fontId="0" fillId="14" borderId="22" xfId="0" applyNumberFormat="1" applyFill="1" applyBorder="1"/>
    <xf numFmtId="0" fontId="0" fillId="14" borderId="26" xfId="0" applyFill="1" applyBorder="1"/>
    <xf numFmtId="0" fontId="0" fillId="14" borderId="27" xfId="0" applyFill="1" applyBorder="1"/>
    <xf numFmtId="0" fontId="0" fillId="14" borderId="28" xfId="0" applyFill="1" applyBorder="1"/>
    <xf numFmtId="14" fontId="4" fillId="10" borderId="22" xfId="0" applyNumberFormat="1" applyFont="1" applyFill="1" applyBorder="1" applyAlignment="1">
      <alignment horizontal="center" vertical="center"/>
    </xf>
    <xf numFmtId="165" fontId="4" fillId="5" borderId="0" xfId="0" applyNumberFormat="1" applyFont="1" applyFill="1" applyAlignment="1">
      <alignment horizontal="center" vertical="center"/>
    </xf>
    <xf numFmtId="0" fontId="1" fillId="11" borderId="29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10" fillId="3" borderId="10" xfId="0" applyFont="1" applyFill="1" applyBorder="1" applyAlignment="1">
      <alignment horizontal="left" wrapText="1"/>
    </xf>
    <xf numFmtId="0" fontId="10" fillId="3" borderId="0" xfId="0" applyFont="1" applyFill="1" applyAlignment="1">
      <alignment horizontal="left" wrapText="1"/>
    </xf>
    <xf numFmtId="0" fontId="3" fillId="2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0" fillId="4" borderId="0" xfId="0" applyFont="1" applyFill="1" applyAlignment="1">
      <alignment horizontal="left" vertical="top" wrapText="1"/>
    </xf>
  </cellXfs>
  <cellStyles count="3">
    <cellStyle name="Lien hypertexte" xfId="1" builtinId="8"/>
    <cellStyle name="Monétaire [0]" xfId="2" builtinId="7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10</xdr:row>
          <xdr:rowOff>171450</xdr:rowOff>
        </xdr:from>
        <xdr:to>
          <xdr:col>7</xdr:col>
          <xdr:colOff>762000</xdr:colOff>
          <xdr:row>12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</xdr:row>
          <xdr:rowOff>19050</xdr:rowOff>
        </xdr:from>
        <xdr:to>
          <xdr:col>5</xdr:col>
          <xdr:colOff>962025</xdr:colOff>
          <xdr:row>3</xdr:row>
          <xdr:rowOff>114300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5</xdr:row>
          <xdr:rowOff>28575</xdr:rowOff>
        </xdr:from>
        <xdr:to>
          <xdr:col>5</xdr:col>
          <xdr:colOff>1152525</xdr:colOff>
          <xdr:row>7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ravidikatsou.fils@gmail.com" TargetMode="External"/><Relationship Id="rId2" Type="http://schemas.openxmlformats.org/officeDocument/2006/relationships/hyperlink" Target="mailto:ravidikatsou.fils@gmail.com" TargetMode="External"/><Relationship Id="rId1" Type="http://schemas.openxmlformats.org/officeDocument/2006/relationships/hyperlink" Target="mailto:ravidikatsou.fils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ravidikatsou.fils@gmail.com" TargetMode="External"/><Relationship Id="rId2" Type="http://schemas.openxmlformats.org/officeDocument/2006/relationships/hyperlink" Target="mailto:ravidikatsou.fils@gmail.com" TargetMode="External"/><Relationship Id="rId1" Type="http://schemas.openxmlformats.org/officeDocument/2006/relationships/hyperlink" Target="mailto:ravidikatsou.fils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ravidikatsou.fil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34EE-642B-4089-BA0F-F1D062DFB720}">
  <sheetPr codeName="Feuil4"/>
  <dimension ref="A1"/>
  <sheetViews>
    <sheetView workbookViewId="0">
      <selection activeCell="E34" sqref="E34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74D77-59FE-4018-8C1F-9EC07D429803}">
  <sheetPr codeName="Feuil2"/>
  <dimension ref="A1:M12"/>
  <sheetViews>
    <sheetView workbookViewId="0">
      <selection activeCell="J23" sqref="J23"/>
    </sheetView>
  </sheetViews>
  <sheetFormatPr baseColWidth="10" defaultRowHeight="15" x14ac:dyDescent="0.25"/>
  <cols>
    <col min="1" max="1" width="11.42578125" customWidth="1"/>
    <col min="2" max="2" width="15.140625" bestFit="1" customWidth="1"/>
    <col min="3" max="3" width="23.5703125" bestFit="1" customWidth="1"/>
    <col min="4" max="4" width="11.42578125" style="6"/>
    <col min="6" max="6" width="11.42578125" style="6"/>
    <col min="8" max="8" width="3.85546875" customWidth="1"/>
    <col min="9" max="9" width="8.5703125" customWidth="1"/>
    <col min="11" max="11" width="11.140625" customWidth="1"/>
    <col min="12" max="12" width="17.140625" bestFit="1" customWidth="1"/>
  </cols>
  <sheetData>
    <row r="1" spans="1:13" s="2" customFormat="1" ht="22.5" customHeight="1" x14ac:dyDescent="0.25">
      <c r="A1" s="3" t="s">
        <v>73</v>
      </c>
      <c r="B1" s="3" t="s">
        <v>0</v>
      </c>
      <c r="C1" s="3" t="s">
        <v>1</v>
      </c>
      <c r="D1" s="4" t="s">
        <v>2</v>
      </c>
      <c r="E1" s="3" t="s">
        <v>3</v>
      </c>
      <c r="F1" s="4" t="s">
        <v>4</v>
      </c>
      <c r="G1" s="3" t="s">
        <v>5</v>
      </c>
      <c r="H1" s="65" t="s">
        <v>6</v>
      </c>
      <c r="I1" s="66" t="s">
        <v>135</v>
      </c>
      <c r="J1" s="3" t="s">
        <v>7</v>
      </c>
      <c r="L1"/>
      <c r="M1"/>
    </row>
    <row r="2" spans="1:13" x14ac:dyDescent="0.25">
      <c r="A2" s="1" t="s">
        <v>74</v>
      </c>
      <c r="B2" s="15" t="s">
        <v>136</v>
      </c>
      <c r="C2" s="15" t="s">
        <v>98</v>
      </c>
      <c r="D2" s="16">
        <v>10</v>
      </c>
      <c r="E2" s="33">
        <f>IFERROR(IF(A2="","",SUMIFS(Booking!G:G,Booking!F:F,Articles!A2,Booking!A:A,"entrée")-SUMIFS(Booking!G:G,Booking!F:F,Articles!A2,Booking!A:A,"Sortie")),"")</f>
        <v>24</v>
      </c>
      <c r="F2" s="60">
        <f t="shared" ref="F2:F5" si="0">IFERROR(IF(A2="","",PRODUCT(D2:E2)),"")</f>
        <v>240</v>
      </c>
      <c r="G2" s="61">
        <v>20</v>
      </c>
      <c r="H2" s="68" t="str">
        <f>IFERROR(IF(E2="","",IF(E2&lt;=G2,1,"")),"")</f>
        <v/>
      </c>
      <c r="I2" s="69" t="str">
        <f>IF($H2="","",IF($H2=1,"Besoin","RAS"))</f>
        <v/>
      </c>
      <c r="J2" s="62"/>
    </row>
    <row r="3" spans="1:13" x14ac:dyDescent="0.25">
      <c r="A3" s="1" t="s">
        <v>90</v>
      </c>
      <c r="B3" s="15" t="s">
        <v>137</v>
      </c>
      <c r="C3" s="15" t="s">
        <v>138</v>
      </c>
      <c r="D3" s="16">
        <v>25</v>
      </c>
      <c r="E3" s="33">
        <f>IFERROR(IF(A3="","",SUMIFS(Booking!G:G,Booking!F:F,Articles!A3,Booking!A:A,"entrée")-SUMIFS(Booking!G:G,Booking!F:F,Articles!A3,Booking!A:A,"Sortie")),"")</f>
        <v>5</v>
      </c>
      <c r="F3" s="60">
        <f t="shared" si="0"/>
        <v>125</v>
      </c>
      <c r="G3" s="63">
        <v>10</v>
      </c>
      <c r="H3" s="68">
        <f>IFERROR(IF(E3="","",IF(E3&lt;=G3,1,"")),"")</f>
        <v>1</v>
      </c>
      <c r="I3" s="70" t="str">
        <f t="shared" ref="I3:I12" si="1">IF($H3="","",IF($H3=1,"Besoin","RAS"))</f>
        <v>Besoin</v>
      </c>
      <c r="J3" s="64"/>
    </row>
    <row r="4" spans="1:13" x14ac:dyDescent="0.25">
      <c r="A4" s="1" t="s">
        <v>141</v>
      </c>
      <c r="B4" s="15" t="s">
        <v>142</v>
      </c>
      <c r="C4" s="15" t="s">
        <v>143</v>
      </c>
      <c r="D4" s="16">
        <v>50</v>
      </c>
      <c r="E4" s="33">
        <f>IFERROR(IF(A4="","",SUMIFS(Booking!G:G,Booking!F:F,Articles!A4,Booking!A:A,"entrée")-SUMIFS(Booking!G:G,Booking!F:F,Articles!A4,Booking!A:A,"Sortie")),"")</f>
        <v>20</v>
      </c>
      <c r="F4" s="60">
        <f t="shared" si="0"/>
        <v>1000</v>
      </c>
      <c r="G4" s="63">
        <v>10</v>
      </c>
      <c r="H4" s="68" t="str">
        <f t="shared" ref="H4:H12" si="2">IFERROR(IF(E4="","",IF(E4&lt;=G4,1,"")),"")</f>
        <v/>
      </c>
      <c r="I4" s="70" t="str">
        <f t="shared" si="1"/>
        <v/>
      </c>
      <c r="J4" s="64"/>
    </row>
    <row r="5" spans="1:13" x14ac:dyDescent="0.25">
      <c r="A5" s="1"/>
      <c r="B5" s="15"/>
      <c r="C5" s="15"/>
      <c r="D5" s="16"/>
      <c r="E5" s="33" t="str">
        <f>IFERROR(IF(A5="","",SUMIFS(Booking!G:G,Booking!F:F,Articles!A5,Booking!A:A,"entrée")-SUMIFS(Booking!G:G,Booking!F:F,Articles!A5,Booking!A:A,"Sortie")),"")</f>
        <v/>
      </c>
      <c r="F5" s="60" t="str">
        <f t="shared" si="0"/>
        <v/>
      </c>
      <c r="G5" s="63"/>
      <c r="H5" s="68" t="str">
        <f t="shared" si="2"/>
        <v/>
      </c>
      <c r="I5" s="70" t="str">
        <f t="shared" si="1"/>
        <v/>
      </c>
      <c r="J5" s="64"/>
    </row>
    <row r="6" spans="1:13" x14ac:dyDescent="0.25">
      <c r="A6" s="1"/>
      <c r="B6" s="15"/>
      <c r="C6" s="15"/>
      <c r="D6" s="16"/>
      <c r="E6" s="33" t="str">
        <f>IFERROR(IF(A6="","",SUMIFS(Booking!G:G,Booking!F:F,Articles!A6,Booking!A:A,"entrée")-SUMIFS(Booking!G:G,Booking!F:F,Articles!A6,Booking!A:A,"Sortie")),"")</f>
        <v/>
      </c>
      <c r="F6" s="60" t="str">
        <f>IFERROR(IF(A6="","",PRODUCT(D6:E6)),"")</f>
        <v/>
      </c>
      <c r="G6" s="63"/>
      <c r="H6" s="68" t="str">
        <f t="shared" si="2"/>
        <v/>
      </c>
      <c r="I6" s="70" t="str">
        <f t="shared" si="1"/>
        <v/>
      </c>
      <c r="J6" s="64"/>
    </row>
    <row r="7" spans="1:13" x14ac:dyDescent="0.25">
      <c r="A7" s="1"/>
      <c r="B7" s="15"/>
      <c r="C7" s="15"/>
      <c r="D7" s="16"/>
      <c r="E7" s="33" t="str">
        <f>IFERROR(IF(A7="","",SUMIFS(Booking!G:G,Booking!F:F,Articles!A7,Booking!A:A,"entrée")-SUMIFS(Booking!G:G,Booking!F:F,Articles!A7,Booking!A:A,"Sortie")),"")</f>
        <v/>
      </c>
      <c r="F7" s="60" t="str">
        <f t="shared" ref="F7:F12" si="3">IFERROR(IF(A7="","",PRODUCT(D7:E7)),"")</f>
        <v/>
      </c>
      <c r="G7" s="63"/>
      <c r="H7" s="68" t="str">
        <f t="shared" si="2"/>
        <v/>
      </c>
      <c r="I7" s="70" t="str">
        <f t="shared" si="1"/>
        <v/>
      </c>
      <c r="J7" s="64"/>
    </row>
    <row r="8" spans="1:13" x14ac:dyDescent="0.25">
      <c r="A8" s="1"/>
      <c r="B8" s="15"/>
      <c r="C8" s="15"/>
      <c r="D8" s="16"/>
      <c r="E8" s="33" t="str">
        <f>IFERROR(IF(A8="","",SUMIFS(Booking!G:G,Booking!F:F,Articles!A8,Booking!A:A,"entrée")-SUMIFS(Booking!G:G,Booking!F:F,Articles!A8,Booking!A:A,"Sortie")),"")</f>
        <v/>
      </c>
      <c r="F8" s="60" t="str">
        <f t="shared" si="3"/>
        <v/>
      </c>
      <c r="G8" s="63"/>
      <c r="H8" s="68" t="str">
        <f t="shared" si="2"/>
        <v/>
      </c>
      <c r="I8" s="70" t="str">
        <f t="shared" si="1"/>
        <v/>
      </c>
      <c r="J8" s="64"/>
    </row>
    <row r="9" spans="1:13" x14ac:dyDescent="0.25">
      <c r="A9" s="1"/>
      <c r="B9" s="15"/>
      <c r="C9" s="15"/>
      <c r="D9" s="16"/>
      <c r="E9" s="33" t="str">
        <f>IFERROR(IF(A9="","",SUMIFS(Booking!G:G,Booking!F:F,Articles!A9,Booking!A:A,"entrée")-SUMIFS(Booking!G:G,Booking!F:F,Articles!A9,Booking!A:A,"Sortie")),"")</f>
        <v/>
      </c>
      <c r="F9" s="60" t="str">
        <f t="shared" si="3"/>
        <v/>
      </c>
      <c r="G9" s="63"/>
      <c r="H9" s="68" t="str">
        <f>IFERROR(IF(E9="","",IF(E9&lt;=G9,1,"")),"")</f>
        <v/>
      </c>
      <c r="I9" s="70" t="str">
        <f t="shared" si="1"/>
        <v/>
      </c>
      <c r="J9" s="64"/>
    </row>
    <row r="10" spans="1:13" x14ac:dyDescent="0.25">
      <c r="A10" s="1"/>
      <c r="B10" s="15"/>
      <c r="C10" s="15"/>
      <c r="D10" s="16"/>
      <c r="E10" s="33" t="str">
        <f>IFERROR(IF(A10="","",SUMIFS(Booking!G:G,Booking!F:F,Articles!A10,Booking!A:A,"entrée")-SUMIFS(Booking!G:G,Booking!F:F,Articles!A10,Booking!A:A,"Sortie")),"")</f>
        <v/>
      </c>
      <c r="F10" s="60" t="str">
        <f t="shared" si="3"/>
        <v/>
      </c>
      <c r="G10" s="63"/>
      <c r="H10" s="68" t="str">
        <f t="shared" si="2"/>
        <v/>
      </c>
      <c r="I10" s="70" t="str">
        <f t="shared" si="1"/>
        <v/>
      </c>
      <c r="J10" s="64"/>
    </row>
    <row r="11" spans="1:13" x14ac:dyDescent="0.25">
      <c r="A11" s="1"/>
      <c r="B11" s="15"/>
      <c r="C11" s="15"/>
      <c r="D11" s="16"/>
      <c r="E11" s="33" t="str">
        <f>IFERROR(IF(A11="","",SUMIFS(Booking!G:G,Booking!F:F,Articles!A11,Booking!A:A,"entrée")-SUMIFS(Booking!G:G,Booking!F:F,Articles!A11,Booking!A:A,"Sortie")),"")</f>
        <v/>
      </c>
      <c r="F11" s="60" t="str">
        <f t="shared" si="3"/>
        <v/>
      </c>
      <c r="G11" s="63"/>
      <c r="H11" s="68" t="str">
        <f t="shared" si="2"/>
        <v/>
      </c>
      <c r="I11" s="70" t="str">
        <f t="shared" si="1"/>
        <v/>
      </c>
      <c r="J11" s="64"/>
    </row>
    <row r="12" spans="1:13" x14ac:dyDescent="0.25">
      <c r="A12" s="1"/>
      <c r="B12" s="15"/>
      <c r="C12" s="15"/>
      <c r="D12" s="16"/>
      <c r="E12" s="33" t="str">
        <f>IFERROR(IF(A12="","",SUMIFS(Booking!G:G,Booking!F:F,Articles!A12,Booking!A:A,"entrée")-SUMIFS(Booking!G:G,Booking!F:F,Articles!A12,Booking!A:A,"Sortie")),"")</f>
        <v/>
      </c>
      <c r="F12" s="60" t="str">
        <f t="shared" si="3"/>
        <v/>
      </c>
      <c r="G12" s="63"/>
      <c r="H12" s="68" t="str">
        <f t="shared" si="2"/>
        <v/>
      </c>
      <c r="I12" s="70" t="str">
        <f t="shared" si="1"/>
        <v/>
      </c>
      <c r="J12" s="64"/>
    </row>
  </sheetData>
  <sheetProtection insertRows="0"/>
  <phoneticPr fontId="2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E8C88B6-2EB4-4ADB-B5D0-BBCED0E52746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2"/>
              <x14:cfIcon iconSet="3Flags" iconId="2"/>
              <x14:cfIcon iconSet="3Flags" iconId="0"/>
            </x14:iconSet>
          </x14:cfRule>
          <xm:sqref>H2:I12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52DF-0974-4822-928F-C7156B18A209}">
  <sheetPr codeName="Feuil9"/>
  <dimension ref="B6:M18"/>
  <sheetViews>
    <sheetView workbookViewId="0">
      <selection activeCell="G8" sqref="G8"/>
    </sheetView>
  </sheetViews>
  <sheetFormatPr baseColWidth="10" defaultRowHeight="15" x14ac:dyDescent="0.25"/>
  <cols>
    <col min="1" max="1" width="1.42578125" customWidth="1"/>
    <col min="2" max="2" width="10.5703125" customWidth="1"/>
    <col min="3" max="3" width="6" customWidth="1"/>
    <col min="4" max="4" width="2.5703125" customWidth="1"/>
    <col min="5" max="5" width="10.28515625" bestFit="1" customWidth="1"/>
    <col min="6" max="6" width="5.85546875" customWidth="1"/>
    <col min="10" max="10" width="14.85546875" bestFit="1" customWidth="1"/>
  </cols>
  <sheetData>
    <row r="6" spans="2:13" ht="7.15" customHeight="1" thickBot="1" x14ac:dyDescent="0.3"/>
    <row r="7" spans="2:13" ht="15.75" thickBot="1" x14ac:dyDescent="0.3">
      <c r="B7" s="88">
        <v>45996</v>
      </c>
      <c r="E7" s="92">
        <v>45997</v>
      </c>
      <c r="G7" s="84"/>
    </row>
    <row r="8" spans="2:13" x14ac:dyDescent="0.25">
      <c r="C8" s="89" t="s">
        <v>147</v>
      </c>
      <c r="F8" s="93" t="s">
        <v>161</v>
      </c>
    </row>
    <row r="9" spans="2:13" x14ac:dyDescent="0.25">
      <c r="C9" s="90" t="s">
        <v>148</v>
      </c>
      <c r="F9" s="94" t="s">
        <v>168</v>
      </c>
      <c r="J9" t="s">
        <v>155</v>
      </c>
      <c r="L9" s="84">
        <f ca="1">TODAY()</f>
        <v>46137</v>
      </c>
      <c r="M9" s="85">
        <f ca="1">TODAY()</f>
        <v>46137</v>
      </c>
    </row>
    <row r="10" spans="2:13" x14ac:dyDescent="0.25">
      <c r="C10" s="90" t="s">
        <v>149</v>
      </c>
      <c r="F10" s="94" t="s">
        <v>162</v>
      </c>
      <c r="J10" t="s">
        <v>156</v>
      </c>
    </row>
    <row r="11" spans="2:13" x14ac:dyDescent="0.25">
      <c r="C11" s="90" t="s">
        <v>150</v>
      </c>
      <c r="F11" s="94" t="s">
        <v>163</v>
      </c>
      <c r="J11" t="s">
        <v>157</v>
      </c>
    </row>
    <row r="12" spans="2:13" x14ac:dyDescent="0.25">
      <c r="C12" s="90" t="s">
        <v>151</v>
      </c>
      <c r="F12" s="94" t="s">
        <v>164</v>
      </c>
      <c r="J12" t="s">
        <v>158</v>
      </c>
    </row>
    <row r="13" spans="2:13" x14ac:dyDescent="0.25">
      <c r="C13" s="90" t="s">
        <v>152</v>
      </c>
      <c r="F13" s="94" t="s">
        <v>167</v>
      </c>
      <c r="J13" s="84">
        <v>45996</v>
      </c>
    </row>
    <row r="14" spans="2:13" x14ac:dyDescent="0.25">
      <c r="C14" s="90" t="s">
        <v>153</v>
      </c>
      <c r="F14" s="94" t="s">
        <v>166</v>
      </c>
      <c r="J14" t="s">
        <v>160</v>
      </c>
    </row>
    <row r="15" spans="2:13" ht="15.75" thickBot="1" x14ac:dyDescent="0.3">
      <c r="C15" s="91" t="s">
        <v>154</v>
      </c>
      <c r="F15" s="95" t="s">
        <v>165</v>
      </c>
    </row>
    <row r="17" spans="10:12" ht="15.75" thickBot="1" x14ac:dyDescent="0.3"/>
    <row r="18" spans="10:12" ht="15.75" thickBot="1" x14ac:dyDescent="0.3">
      <c r="J18" s="87"/>
      <c r="L18" s="86" t="str">
        <f ca="1">IF(J13=M9,"ok","non")</f>
        <v>non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447675</xdr:colOff>
                <xdr:row>10</xdr:row>
                <xdr:rowOff>171450</xdr:rowOff>
              </from>
              <to>
                <xdr:col>8</xdr:col>
                <xdr:colOff>28575</xdr:colOff>
                <xdr:row>12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109B3-E5F3-45BF-8271-29449C0B6EF6}">
  <sheetPr codeName="Feuil10"/>
  <dimension ref="B2:BQ32"/>
  <sheetViews>
    <sheetView workbookViewId="0">
      <selection activeCell="D12" sqref="D12"/>
    </sheetView>
  </sheetViews>
  <sheetFormatPr baseColWidth="10" defaultColWidth="11.5703125" defaultRowHeight="15" x14ac:dyDescent="0.25"/>
  <cols>
    <col min="1" max="1" width="11.5703125" style="77"/>
    <col min="2" max="2" width="1.85546875" style="77" customWidth="1"/>
    <col min="3" max="3" width="37.7109375" style="77" customWidth="1"/>
    <col min="4" max="4" width="33.140625" style="77" customWidth="1"/>
    <col min="5" max="5" width="1.5703125" style="77" customWidth="1"/>
    <col min="6" max="6" width="34.7109375" style="77" customWidth="1"/>
    <col min="7" max="69" width="11.5703125" style="78"/>
    <col min="70" max="16384" width="11.5703125" style="77"/>
  </cols>
  <sheetData>
    <row r="2" spans="2:13" x14ac:dyDescent="0.25">
      <c r="B2" s="79"/>
      <c r="C2" s="101"/>
      <c r="D2" s="79"/>
      <c r="E2" s="79"/>
    </row>
    <row r="3" spans="2:13" ht="15.75" thickBot="1" x14ac:dyDescent="0.3">
      <c r="B3" s="79"/>
      <c r="C3" s="101"/>
      <c r="D3" s="97">
        <f ca="1">D4</f>
        <v>46137</v>
      </c>
      <c r="E3" s="79"/>
    </row>
    <row r="4" spans="2:13" ht="15.75" thickBot="1" x14ac:dyDescent="0.3">
      <c r="B4" s="79"/>
      <c r="C4" s="79"/>
      <c r="D4" s="96">
        <f ca="1">TODAY()</f>
        <v>46137</v>
      </c>
      <c r="E4" s="79"/>
    </row>
    <row r="5" spans="2:13" x14ac:dyDescent="0.25">
      <c r="B5" s="79"/>
      <c r="C5" s="79" t="s">
        <v>33</v>
      </c>
      <c r="D5" s="79"/>
      <c r="E5" s="79"/>
    </row>
    <row r="6" spans="2:13" ht="3.6" customHeight="1" thickBot="1" x14ac:dyDescent="0.3">
      <c r="B6" s="79"/>
      <c r="C6" s="79"/>
      <c r="D6" s="79"/>
      <c r="E6" s="79"/>
      <c r="H6" s="79"/>
      <c r="I6" s="79"/>
      <c r="J6" s="79"/>
      <c r="K6" s="79"/>
      <c r="L6" s="79"/>
      <c r="M6" s="79"/>
    </row>
    <row r="7" spans="2:13" x14ac:dyDescent="0.25">
      <c r="B7" s="79"/>
      <c r="C7" s="98" t="s">
        <v>169</v>
      </c>
      <c r="D7" s="99" t="s">
        <v>170</v>
      </c>
      <c r="E7" s="79"/>
      <c r="H7" s="79"/>
      <c r="I7" s="79"/>
      <c r="J7" s="79"/>
      <c r="K7" s="79"/>
      <c r="L7" s="79"/>
      <c r="M7" s="79"/>
    </row>
    <row r="8" spans="2:13" x14ac:dyDescent="0.25">
      <c r="B8" s="79"/>
      <c r="C8" s="100" t="s">
        <v>171</v>
      </c>
      <c r="D8" s="15" t="s">
        <v>159</v>
      </c>
      <c r="E8" s="79"/>
      <c r="H8" s="79"/>
      <c r="I8" s="79"/>
      <c r="J8" s="79"/>
      <c r="K8" s="79"/>
      <c r="L8" s="79"/>
      <c r="M8" s="79"/>
    </row>
    <row r="9" spans="2:13" x14ac:dyDescent="0.25">
      <c r="B9" s="79"/>
      <c r="C9" s="81" t="s">
        <v>172</v>
      </c>
      <c r="D9" s="80" t="s">
        <v>179</v>
      </c>
      <c r="E9" s="79"/>
      <c r="H9" s="79"/>
      <c r="I9" s="79"/>
      <c r="J9" s="79"/>
      <c r="K9" s="79"/>
      <c r="L9" s="79"/>
      <c r="M9" s="79"/>
    </row>
    <row r="10" spans="2:13" x14ac:dyDescent="0.25">
      <c r="B10" s="79"/>
      <c r="C10" s="82" t="s">
        <v>173</v>
      </c>
      <c r="D10" s="80" t="s">
        <v>179</v>
      </c>
      <c r="E10" s="79"/>
      <c r="H10" s="79"/>
      <c r="I10" s="79"/>
      <c r="J10" s="79"/>
      <c r="K10" s="79"/>
      <c r="L10" s="79"/>
      <c r="M10" s="79"/>
    </row>
    <row r="11" spans="2:13" x14ac:dyDescent="0.25">
      <c r="B11" s="79"/>
      <c r="C11" s="82" t="s">
        <v>174</v>
      </c>
      <c r="D11" s="80" t="s">
        <v>159</v>
      </c>
      <c r="E11" s="79"/>
      <c r="H11" s="79"/>
      <c r="I11" s="79"/>
      <c r="J11" s="79"/>
      <c r="K11" s="79"/>
      <c r="L11" s="79"/>
      <c r="M11" s="79"/>
    </row>
    <row r="12" spans="2:13" x14ac:dyDescent="0.25">
      <c r="B12" s="79"/>
      <c r="C12" s="82" t="s">
        <v>175</v>
      </c>
      <c r="D12" s="80" t="s">
        <v>159</v>
      </c>
      <c r="E12" s="79"/>
      <c r="H12" s="79"/>
      <c r="I12" s="79"/>
      <c r="J12" s="79"/>
      <c r="K12" s="79"/>
      <c r="L12" s="79"/>
      <c r="M12" s="79"/>
    </row>
    <row r="13" spans="2:13" x14ac:dyDescent="0.25">
      <c r="B13" s="79"/>
      <c r="C13" s="82" t="s">
        <v>176</v>
      </c>
      <c r="D13" s="80" t="s">
        <v>159</v>
      </c>
      <c r="E13" s="79"/>
      <c r="H13" s="79"/>
      <c r="I13" s="79"/>
      <c r="J13" s="79"/>
      <c r="K13" s="79"/>
      <c r="L13" s="79"/>
      <c r="M13" s="79"/>
    </row>
    <row r="14" spans="2:13" x14ac:dyDescent="0.25">
      <c r="B14" s="79"/>
      <c r="C14" s="82" t="s">
        <v>177</v>
      </c>
      <c r="D14" s="80" t="s">
        <v>159</v>
      </c>
      <c r="E14" s="79"/>
      <c r="H14" s="79"/>
      <c r="I14" s="79"/>
      <c r="J14" s="79"/>
      <c r="K14" s="79"/>
      <c r="L14" s="79"/>
      <c r="M14" s="79"/>
    </row>
    <row r="15" spans="2:13" x14ac:dyDescent="0.25">
      <c r="B15" s="79"/>
      <c r="C15" s="82" t="s">
        <v>178</v>
      </c>
      <c r="D15" s="80" t="s">
        <v>159</v>
      </c>
      <c r="E15" s="79"/>
      <c r="H15" s="79"/>
      <c r="I15" s="79"/>
      <c r="J15" s="79"/>
      <c r="K15" s="79"/>
      <c r="L15" s="79"/>
      <c r="M15" s="79"/>
    </row>
    <row r="16" spans="2:13" x14ac:dyDescent="0.25">
      <c r="B16" s="79"/>
      <c r="C16" s="82"/>
      <c r="D16" s="80"/>
      <c r="E16" s="79"/>
      <c r="H16" s="79"/>
      <c r="I16" s="79"/>
      <c r="J16" s="79"/>
      <c r="K16" s="79"/>
      <c r="L16" s="79"/>
      <c r="M16" s="79"/>
    </row>
    <row r="17" spans="2:13" x14ac:dyDescent="0.25">
      <c r="B17" s="79"/>
      <c r="C17" s="82"/>
      <c r="D17" s="80"/>
      <c r="E17" s="79"/>
      <c r="H17" s="79"/>
      <c r="I17" s="79"/>
      <c r="J17" s="79"/>
      <c r="K17" s="79"/>
      <c r="L17" s="79"/>
      <c r="M17" s="79"/>
    </row>
    <row r="18" spans="2:13" x14ac:dyDescent="0.25">
      <c r="B18" s="79"/>
      <c r="C18" s="82"/>
      <c r="D18" s="80"/>
      <c r="E18" s="79"/>
      <c r="H18" s="79"/>
      <c r="I18" s="79"/>
      <c r="J18" s="79"/>
      <c r="K18" s="79"/>
      <c r="L18" s="79"/>
      <c r="M18" s="79"/>
    </row>
    <row r="19" spans="2:13" x14ac:dyDescent="0.25">
      <c r="B19" s="79"/>
      <c r="C19" s="82"/>
      <c r="D19" s="80"/>
      <c r="E19" s="79"/>
      <c r="H19" s="79"/>
      <c r="I19" s="79"/>
      <c r="J19" s="79"/>
      <c r="K19" s="79"/>
      <c r="L19" s="79"/>
      <c r="M19" s="79"/>
    </row>
    <row r="20" spans="2:13" x14ac:dyDescent="0.25">
      <c r="B20" s="79"/>
      <c r="C20" s="82"/>
      <c r="D20" s="80"/>
      <c r="E20" s="79"/>
      <c r="H20" s="79"/>
      <c r="I20" s="79"/>
      <c r="J20" s="79"/>
      <c r="K20" s="79"/>
      <c r="L20" s="79"/>
      <c r="M20" s="79"/>
    </row>
    <row r="21" spans="2:13" x14ac:dyDescent="0.25">
      <c r="B21" s="79"/>
      <c r="C21" s="82"/>
      <c r="D21" s="80"/>
      <c r="E21" s="79"/>
      <c r="H21" s="79"/>
      <c r="I21" s="79"/>
      <c r="J21" s="79"/>
      <c r="K21" s="79"/>
      <c r="L21" s="79"/>
      <c r="M21" s="79"/>
    </row>
    <row r="22" spans="2:13" x14ac:dyDescent="0.25">
      <c r="B22" s="79"/>
      <c r="C22" s="82"/>
      <c r="D22" s="80"/>
      <c r="E22" s="79"/>
      <c r="H22" s="79"/>
      <c r="I22" s="79"/>
      <c r="J22" s="79"/>
      <c r="K22" s="79"/>
      <c r="L22" s="79"/>
      <c r="M22" s="79"/>
    </row>
    <row r="23" spans="2:13" x14ac:dyDescent="0.25">
      <c r="B23" s="79"/>
      <c r="C23" s="82"/>
      <c r="D23" s="80"/>
      <c r="E23" s="79"/>
      <c r="H23" s="79"/>
      <c r="I23" s="79"/>
      <c r="J23" s="79"/>
      <c r="K23" s="79"/>
      <c r="L23" s="79"/>
      <c r="M23" s="79"/>
    </row>
    <row r="24" spans="2:13" x14ac:dyDescent="0.25">
      <c r="B24" s="79"/>
      <c r="C24" s="82"/>
      <c r="D24" s="80"/>
      <c r="E24" s="79"/>
      <c r="H24" s="79"/>
      <c r="I24" s="79"/>
      <c r="J24" s="79"/>
      <c r="K24" s="79"/>
      <c r="L24" s="79"/>
      <c r="M24" s="79"/>
    </row>
    <row r="25" spans="2:13" x14ac:dyDescent="0.25">
      <c r="B25" s="79"/>
      <c r="C25" s="82"/>
      <c r="D25" s="80"/>
      <c r="E25" s="79"/>
      <c r="H25" s="79"/>
      <c r="I25" s="79"/>
      <c r="J25" s="79"/>
      <c r="K25" s="79"/>
      <c r="L25" s="79"/>
      <c r="M25" s="79"/>
    </row>
    <row r="26" spans="2:13" x14ac:dyDescent="0.25">
      <c r="B26" s="79"/>
      <c r="C26" s="82"/>
      <c r="D26" s="80"/>
      <c r="E26" s="79"/>
      <c r="H26" s="79"/>
      <c r="I26" s="79"/>
      <c r="J26" s="79"/>
      <c r="K26" s="79"/>
      <c r="L26" s="79"/>
      <c r="M26" s="79"/>
    </row>
    <row r="27" spans="2:13" x14ac:dyDescent="0.25">
      <c r="B27" s="79"/>
      <c r="C27" s="82"/>
      <c r="D27" s="80"/>
      <c r="E27" s="79"/>
      <c r="H27" s="79"/>
      <c r="I27" s="79"/>
      <c r="J27" s="79"/>
      <c r="K27" s="79"/>
      <c r="L27" s="79"/>
      <c r="M27" s="79"/>
    </row>
    <row r="28" spans="2:13" x14ac:dyDescent="0.25">
      <c r="B28" s="79"/>
      <c r="C28" s="82"/>
      <c r="D28" s="80"/>
      <c r="E28" s="79"/>
      <c r="H28" s="79"/>
      <c r="I28" s="79"/>
      <c r="J28" s="79"/>
      <c r="K28" s="79"/>
      <c r="L28" s="79"/>
      <c r="M28" s="79"/>
    </row>
    <row r="29" spans="2:13" x14ac:dyDescent="0.25">
      <c r="B29" s="79"/>
      <c r="C29" s="82"/>
      <c r="D29" s="80"/>
      <c r="E29" s="79"/>
      <c r="H29" s="79"/>
      <c r="I29" s="79"/>
      <c r="J29" s="79"/>
      <c r="K29" s="79"/>
      <c r="L29" s="79"/>
      <c r="M29" s="79"/>
    </row>
    <row r="30" spans="2:13" x14ac:dyDescent="0.25">
      <c r="B30" s="79"/>
      <c r="C30" s="82"/>
      <c r="D30" s="80"/>
      <c r="E30" s="79"/>
      <c r="H30" s="79"/>
      <c r="I30" s="79"/>
      <c r="J30" s="79"/>
      <c r="K30" s="79"/>
      <c r="L30" s="79"/>
      <c r="M30" s="79"/>
    </row>
    <row r="31" spans="2:13" x14ac:dyDescent="0.25">
      <c r="B31" s="79"/>
      <c r="C31" s="82"/>
      <c r="D31" s="80"/>
      <c r="E31" s="79"/>
      <c r="H31" s="79"/>
      <c r="I31" s="79"/>
      <c r="J31" s="79"/>
      <c r="K31" s="79"/>
      <c r="L31" s="79"/>
      <c r="M31" s="79"/>
    </row>
    <row r="32" spans="2:13" ht="15.75" thickBot="1" x14ac:dyDescent="0.3">
      <c r="B32" s="79"/>
      <c r="C32" s="83"/>
      <c r="D32" s="80"/>
      <c r="E32" s="79"/>
      <c r="H32" s="79"/>
      <c r="I32" s="79"/>
      <c r="J32" s="79"/>
      <c r="K32" s="79"/>
      <c r="L32" s="79"/>
      <c r="M32" s="7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5</xdr:col>
                <xdr:colOff>333375</xdr:colOff>
                <xdr:row>2</xdr:row>
                <xdr:rowOff>19050</xdr:rowOff>
              </from>
              <to>
                <xdr:col>5</xdr:col>
                <xdr:colOff>962025</xdr:colOff>
                <xdr:row>3</xdr:row>
                <xdr:rowOff>104775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5</xdr:col>
                <xdr:colOff>381000</xdr:colOff>
                <xdr:row>5</xdr:row>
                <xdr:rowOff>28575</xdr:rowOff>
              </from>
              <to>
                <xdr:col>5</xdr:col>
                <xdr:colOff>1152525</xdr:colOff>
                <xdr:row>7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24D26-84A4-4CE1-A2E0-C8AC4B70AB0E}">
  <sheetPr codeName="Feuil3"/>
  <dimension ref="A1:J10"/>
  <sheetViews>
    <sheetView workbookViewId="0">
      <selection activeCell="B6" sqref="B6"/>
    </sheetView>
  </sheetViews>
  <sheetFormatPr baseColWidth="10" defaultRowHeight="15" x14ac:dyDescent="0.25"/>
  <cols>
    <col min="1" max="1" width="17" style="20" bestFit="1" customWidth="1"/>
    <col min="2" max="3" width="15.42578125" style="20" bestFit="1" customWidth="1"/>
    <col min="4" max="4" width="15.140625" style="20" bestFit="1" customWidth="1"/>
    <col min="5" max="5" width="11.42578125" style="20"/>
    <col min="6" max="6" width="11.42578125" style="26"/>
    <col min="7" max="7" width="12.28515625" style="31" customWidth="1"/>
    <col min="8" max="8" width="13.28515625" style="20" customWidth="1"/>
    <col min="9" max="10" width="11.42578125" style="20"/>
  </cols>
  <sheetData>
    <row r="1" spans="1:10" x14ac:dyDescent="0.25">
      <c r="A1" s="19" t="s">
        <v>93</v>
      </c>
      <c r="B1" s="19" t="s">
        <v>50</v>
      </c>
      <c r="C1" s="19" t="s">
        <v>80</v>
      </c>
      <c r="D1" s="19" t="s">
        <v>94</v>
      </c>
      <c r="E1" s="19" t="s">
        <v>95</v>
      </c>
      <c r="F1" s="29" t="s">
        <v>96</v>
      </c>
      <c r="G1" s="30" t="s">
        <v>51</v>
      </c>
      <c r="H1" s="19" t="s">
        <v>78</v>
      </c>
      <c r="I1" s="19" t="s">
        <v>97</v>
      </c>
      <c r="J1" s="19" t="s">
        <v>7</v>
      </c>
    </row>
    <row r="2" spans="1:10" x14ac:dyDescent="0.25">
      <c r="A2" s="23" t="s">
        <v>99</v>
      </c>
      <c r="B2" s="24">
        <v>45766.213449074072</v>
      </c>
      <c r="C2" s="23" t="s">
        <v>74</v>
      </c>
      <c r="D2" s="23" t="s">
        <v>136</v>
      </c>
      <c r="E2" s="23">
        <v>30</v>
      </c>
      <c r="F2" s="25">
        <v>10</v>
      </c>
      <c r="G2" s="60">
        <f>IFERROR(IF(A2="","",PRODUCT(E2:F2)),"")</f>
        <v>300</v>
      </c>
      <c r="H2" s="23" t="s">
        <v>34</v>
      </c>
      <c r="I2" s="33" cm="1">
        <f t="array" ref="I2">IFERROR(IF(A2="","",INDEX(Booking!G:G,MATCH(1,(Commandes!A2=Booking!C:C)*(Commandes!C2=Booking!F:F),0))),"")</f>
        <v>30</v>
      </c>
      <c r="J2" s="33" t="str">
        <f>IFERROR(IF(A2="","",IF(I2=E2,"Close","Open")),"")</f>
        <v>Close</v>
      </c>
    </row>
    <row r="3" spans="1:10" x14ac:dyDescent="0.25">
      <c r="A3" s="23" t="s">
        <v>99</v>
      </c>
      <c r="B3" s="24">
        <v>45766.213460648149</v>
      </c>
      <c r="C3" s="23" t="s">
        <v>90</v>
      </c>
      <c r="D3" s="23" t="s">
        <v>137</v>
      </c>
      <c r="E3" s="23">
        <v>5</v>
      </c>
      <c r="F3" s="25">
        <v>25</v>
      </c>
      <c r="G3" s="60">
        <f t="shared" ref="G3:G10" si="0">IFERROR(IF(A3="","",PRODUCT(E3:F3)),"")</f>
        <v>125</v>
      </c>
      <c r="H3" s="23" t="s">
        <v>34</v>
      </c>
      <c r="I3" s="33" cm="1">
        <f t="array" ref="I3">IFERROR(IF(A3="","",INDEX(Booking!G:G,MATCH(1,(Commandes!A3=Booking!C:C)*(Commandes!C3=Booking!F:F),0))),"")</f>
        <v>5</v>
      </c>
      <c r="J3" s="33" t="str">
        <f t="shared" ref="J3:J10" si="1">IFERROR(IF(A3="","",IF(I3=E3,"Close","Open")),"")</f>
        <v>Close</v>
      </c>
    </row>
    <row r="4" spans="1:10" x14ac:dyDescent="0.25">
      <c r="A4" s="23" t="s">
        <v>108</v>
      </c>
      <c r="B4" s="24">
        <v>45766.809849537036</v>
      </c>
      <c r="C4" s="23" t="s">
        <v>141</v>
      </c>
      <c r="D4" s="23" t="s">
        <v>142</v>
      </c>
      <c r="E4" s="23">
        <v>20</v>
      </c>
      <c r="F4" s="25">
        <v>50</v>
      </c>
      <c r="G4" s="60">
        <f t="shared" ref="G4" si="2">IFERROR(IF(A4="","",PRODUCT(E4:F4)),"")</f>
        <v>1000</v>
      </c>
      <c r="H4" s="23" t="s">
        <v>35</v>
      </c>
      <c r="I4" s="33" t="str" cm="1">
        <f t="array" ref="I4">IFERROR(IF(A4="","",INDEX(Booking!G:G,MATCH(1,(Commandes!A4=Booking!C:C)*(Commandes!C4=Booking!F:F),0))),"")</f>
        <v/>
      </c>
      <c r="J4" s="33" t="str">
        <f t="shared" ref="J4" si="3">IFERROR(IF(A4="","",IF(I4=E4,"Close","Open")),"")</f>
        <v>Open</v>
      </c>
    </row>
    <row r="5" spans="1:10" x14ac:dyDescent="0.25">
      <c r="A5" s="15" t="s">
        <v>144</v>
      </c>
      <c r="B5" s="27">
        <v>45784.977592592593</v>
      </c>
      <c r="C5" s="15" t="s">
        <v>90</v>
      </c>
      <c r="D5" s="15" t="s">
        <v>137</v>
      </c>
      <c r="E5" s="15">
        <v>12</v>
      </c>
      <c r="F5" s="28">
        <v>25</v>
      </c>
      <c r="G5" s="60">
        <f t="shared" si="0"/>
        <v>300</v>
      </c>
      <c r="H5" s="15" t="s">
        <v>34</v>
      </c>
      <c r="I5" s="33" t="str" cm="1">
        <f t="array" ref="I5">IFERROR(IF(A5="","",INDEX(Booking!G:G,MATCH(1,(Commandes!A5=Booking!C:C)*(Commandes!C5=Booking!F:F),0))),"")</f>
        <v/>
      </c>
      <c r="J5" s="33" t="str">
        <f t="shared" si="1"/>
        <v>Open</v>
      </c>
    </row>
    <row r="6" spans="1:10" x14ac:dyDescent="0.25">
      <c r="A6" s="15" t="s">
        <v>145</v>
      </c>
      <c r="B6" s="27">
        <v>45797.699456018519</v>
      </c>
      <c r="C6" s="15" t="s">
        <v>90</v>
      </c>
      <c r="D6" s="15" t="s">
        <v>137</v>
      </c>
      <c r="E6" s="15">
        <v>12</v>
      </c>
      <c r="F6" s="28">
        <v>25</v>
      </c>
      <c r="G6" s="60">
        <f t="shared" si="0"/>
        <v>300</v>
      </c>
      <c r="H6" s="15" t="s">
        <v>34</v>
      </c>
      <c r="I6" s="33" t="str" cm="1">
        <f t="array" ref="I6">IFERROR(IF(A6="","",INDEX(Booking!G:G,MATCH(1,(Commandes!A6=Booking!C:C)*(Commandes!C6=Booking!F:F),0))),"")</f>
        <v/>
      </c>
      <c r="J6" s="33" t="str">
        <f t="shared" si="1"/>
        <v>Open</v>
      </c>
    </row>
    <row r="7" spans="1:10" x14ac:dyDescent="0.25">
      <c r="A7" s="15" t="s">
        <v>146</v>
      </c>
      <c r="B7" s="27">
        <v>45992.959143518521</v>
      </c>
      <c r="C7" s="15" t="s">
        <v>90</v>
      </c>
      <c r="D7" s="15" t="s">
        <v>137</v>
      </c>
      <c r="E7" s="15">
        <v>8</v>
      </c>
      <c r="F7" s="28">
        <v>25</v>
      </c>
      <c r="G7" s="60">
        <f t="shared" si="0"/>
        <v>200</v>
      </c>
      <c r="H7" s="15" t="s">
        <v>39</v>
      </c>
      <c r="I7" s="33" t="str" cm="1">
        <f t="array" ref="I7">IFERROR(IF(A7="","",INDEX(Booking!G:G,MATCH(1,(Commandes!A7=Booking!C:C)*(Commandes!C7=Booking!F:F),0))),"")</f>
        <v/>
      </c>
      <c r="J7" s="33" t="str">
        <f t="shared" si="1"/>
        <v>Open</v>
      </c>
    </row>
    <row r="8" spans="1:10" x14ac:dyDescent="0.25">
      <c r="A8" s="15" t="s">
        <v>33</v>
      </c>
      <c r="B8" s="27">
        <v>46137.854201388887</v>
      </c>
      <c r="C8" s="15" t="s">
        <v>74</v>
      </c>
      <c r="D8" s="15" t="s">
        <v>136</v>
      </c>
      <c r="E8" s="15">
        <v>3</v>
      </c>
      <c r="F8" s="28">
        <v>10</v>
      </c>
      <c r="G8" s="60">
        <f t="shared" si="0"/>
        <v>30</v>
      </c>
      <c r="H8" s="15" t="s">
        <v>35</v>
      </c>
      <c r="I8" s="33" t="str" cm="1">
        <f t="array" ref="I8">IFERROR(IF(A8="","",INDEX(Booking!G:G,MATCH(1,(Commandes!A8=Booking!C:C)*(Commandes!C8=Booking!F:F),0))),"")</f>
        <v/>
      </c>
      <c r="J8" s="33" t="str">
        <f t="shared" si="1"/>
        <v>Open</v>
      </c>
    </row>
    <row r="9" spans="1:10" x14ac:dyDescent="0.25">
      <c r="A9" s="15"/>
      <c r="B9" s="27"/>
      <c r="C9" s="15"/>
      <c r="D9" s="15"/>
      <c r="E9" s="15"/>
      <c r="F9" s="28"/>
      <c r="G9" s="60" t="str">
        <f t="shared" si="0"/>
        <v/>
      </c>
      <c r="H9" s="15"/>
      <c r="I9" s="33" t="str" cm="1">
        <f t="array" ref="I9">IFERROR(IF(A9="","",INDEX(Booking!G:G,MATCH(1,(Commandes!A9=Booking!C:C)*(Commandes!C9=Booking!F:F),0))),"")</f>
        <v/>
      </c>
      <c r="J9" s="33" t="str">
        <f t="shared" si="1"/>
        <v/>
      </c>
    </row>
    <row r="10" spans="1:10" x14ac:dyDescent="0.25">
      <c r="A10" s="15"/>
      <c r="B10" s="15"/>
      <c r="C10" s="15"/>
      <c r="D10" s="15"/>
      <c r="E10" s="15"/>
      <c r="F10" s="28"/>
      <c r="G10" s="60" t="str">
        <f t="shared" si="0"/>
        <v/>
      </c>
      <c r="H10" s="15"/>
      <c r="I10" s="33" t="str" cm="1">
        <f t="array" ref="I10">IFERROR(IF(A10="","",INDEX(Booking!G:G,MATCH(1,(Commandes!A10=Booking!C:C)*(Commandes!C10=Booking!F:F),0))),"")</f>
        <v/>
      </c>
      <c r="J10" s="33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FD5E-A134-4657-AD13-8791C15B469A}">
  <sheetPr codeName="Feuil1"/>
  <dimension ref="B1:H36"/>
  <sheetViews>
    <sheetView tabSelected="1" zoomScaleNormal="100" workbookViewId="0">
      <selection activeCell="L17" sqref="L17"/>
    </sheetView>
  </sheetViews>
  <sheetFormatPr baseColWidth="10" defaultRowHeight="15" x14ac:dyDescent="0.25"/>
  <cols>
    <col min="1" max="1" width="1.5703125" customWidth="1"/>
    <col min="2" max="2" width="9.7109375" customWidth="1"/>
    <col min="3" max="3" width="15.7109375" customWidth="1"/>
    <col min="4" max="4" width="23.85546875" customWidth="1"/>
    <col min="5" max="5" width="9.28515625" customWidth="1"/>
    <col min="6" max="6" width="12.7109375" customWidth="1"/>
    <col min="7" max="7" width="13.140625" customWidth="1"/>
    <col min="8" max="8" width="12.5703125" customWidth="1"/>
  </cols>
  <sheetData>
    <row r="1" spans="2:8" ht="80.25" customHeight="1" x14ac:dyDescent="1.1000000000000001">
      <c r="B1" s="36" t="s">
        <v>110</v>
      </c>
    </row>
    <row r="2" spans="2:8" ht="21.75" customHeight="1" x14ac:dyDescent="0.45">
      <c r="H2" s="41" t="s">
        <v>114</v>
      </c>
    </row>
    <row r="3" spans="2:8" ht="12.75" customHeight="1" x14ac:dyDescent="0.45">
      <c r="H3" s="41"/>
    </row>
    <row r="4" spans="2:8" ht="10.5" customHeight="1" x14ac:dyDescent="0.45">
      <c r="H4" s="41"/>
    </row>
    <row r="5" spans="2:8" ht="17.25" customHeight="1" x14ac:dyDescent="0.3">
      <c r="B5" s="43" t="s">
        <v>111</v>
      </c>
      <c r="C5" s="59" t="s">
        <v>146</v>
      </c>
      <c r="G5" s="38" t="s">
        <v>115</v>
      </c>
      <c r="H5" s="51">
        <f>IFERROR(IF($C$5="","",_xlfn.XLOOKUP($C$5,Commandes!A:A,Commandes!B:B)),"")</f>
        <v>45992.959143518521</v>
      </c>
    </row>
    <row r="6" spans="2:8" ht="19.5" customHeight="1" x14ac:dyDescent="0.25">
      <c r="B6" s="39" t="s">
        <v>112</v>
      </c>
    </row>
    <row r="7" spans="2:8" ht="9" customHeight="1" x14ac:dyDescent="0.25">
      <c r="B7" s="40" t="s">
        <v>113</v>
      </c>
    </row>
    <row r="8" spans="2:8" ht="11.25" customHeight="1" x14ac:dyDescent="0.25"/>
    <row r="9" spans="2:8" ht="15.75" thickBot="1" x14ac:dyDescent="0.3">
      <c r="B9" s="44" t="s">
        <v>116</v>
      </c>
      <c r="C9" s="45"/>
      <c r="G9" s="44" t="s">
        <v>117</v>
      </c>
      <c r="H9" s="45"/>
    </row>
    <row r="10" spans="2:8" x14ac:dyDescent="0.25">
      <c r="B10" s="42" t="str">
        <f>Config!C25</f>
        <v>sBr</v>
      </c>
      <c r="G10" s="42" t="str">
        <f>IFERROR(IF($C$5&lt;&gt;"",_xlfn.XLOOKUP($C$5,Commandes!A:A,Commandes!H:H,""),""),"")</f>
        <v>Supplier 6</v>
      </c>
    </row>
    <row r="11" spans="2:8" x14ac:dyDescent="0.25">
      <c r="B11" s="42" t="str">
        <f>Config!C26</f>
        <v>Hlm Grand Yoff</v>
      </c>
      <c r="G11" s="42" t="str">
        <f>_xlfn.XLOOKUP($G$10,Fournisseurs!A:A,Fournisseurs!B:B,"")</f>
        <v>Rue de Droite 6</v>
      </c>
    </row>
    <row r="12" spans="2:8" x14ac:dyDescent="0.25">
      <c r="B12" s="43" t="str">
        <f>_xlfn.CONCAT(LEFT(Config!$C$29,3),"-",Config!C27,",",Config!C28)</f>
        <v>Sén-10000,Dakar</v>
      </c>
      <c r="G12" s="42" t="str">
        <f>_xlfn.XLOOKUP($G$10,Fournisseurs!A:A,Fournisseurs!H:H,"")</f>
        <v>Dakar-10000-Sen</v>
      </c>
    </row>
    <row r="13" spans="2:8" x14ac:dyDescent="0.25">
      <c r="B13" s="42">
        <f>Config!C30</f>
        <v>781883408</v>
      </c>
      <c r="G13" s="43">
        <f>_xlfn.XLOOKUP($G$10,Fournisseurs!A:A,Fournisseurs!F:F,"")</f>
        <v>781883413</v>
      </c>
    </row>
    <row r="14" spans="2:8" x14ac:dyDescent="0.25">
      <c r="B14" s="42" t="str">
        <f>Config!C31</f>
        <v>ravidikatsou.fils@gmail.com</v>
      </c>
      <c r="G14" s="42" t="str">
        <f>_xlfn.XLOOKUP($G$10,Fournisseurs!A:A,Fournisseurs!G:G,"")</f>
        <v>ravidikatsou.fils@gmail.com</v>
      </c>
    </row>
    <row r="15" spans="2:8" x14ac:dyDescent="0.25">
      <c r="B15" s="46"/>
      <c r="C15" s="46"/>
      <c r="D15" s="46"/>
      <c r="E15" s="46"/>
      <c r="F15" s="46"/>
      <c r="G15" s="46"/>
    </row>
    <row r="16" spans="2:8" x14ac:dyDescent="0.25">
      <c r="B16" s="47" t="s">
        <v>118</v>
      </c>
      <c r="C16" s="47" t="s">
        <v>80</v>
      </c>
      <c r="D16" s="47" t="s">
        <v>119</v>
      </c>
      <c r="E16" s="47" t="s">
        <v>121</v>
      </c>
      <c r="F16" s="47" t="s">
        <v>2</v>
      </c>
      <c r="G16" s="47" t="s">
        <v>120</v>
      </c>
      <c r="H16" s="6"/>
    </row>
    <row r="17" spans="2:7" s="20" customFormat="1" x14ac:dyDescent="0.25">
      <c r="B17" s="20">
        <f>IF(C17&lt;&gt;"",ROW()-16,"")</f>
        <v>1</v>
      </c>
      <c r="C17" s="20" t="str" cm="1">
        <f t="array" ref="C17">IFERROR(IF($C$5&lt;&gt;"",INDEX(Commandes!C:C,SMALL(IF(Commandes!A:A=$C$5,ROW(Commandes!C:C)),ROW()-16)),""),"")</f>
        <v>ART-00002</v>
      </c>
      <c r="D17" s="20" t="str" cm="1">
        <f t="array" ref="D17">IFERROR(IF($C$5&lt;&gt;"",INDEX(Commandes!D:D,SMALL(IF(Commandes!A:A=$C$5,ROW(Commandes!C:C)),ROW()-16)),""),"")</f>
        <v>Oignon</v>
      </c>
      <c r="E17" s="20" cm="1">
        <f t="array" ref="E17">IFERROR(IF($C$5&lt;&gt;"",INDEX(Commandes!E:E,SMALL(IF(Commandes!A:A=$C$5,ROW(Commandes!C:C)),ROW()-16)),""),"")</f>
        <v>8</v>
      </c>
      <c r="F17" s="20" cm="1">
        <f t="array" ref="F17">IFERROR(IF($C$5&lt;&gt;"",INDEX(Commandes!F:F,SMALL(IF(Commandes!A:A=$C$5,ROW(Commandes!C:C)),ROW()-16)),""),"")</f>
        <v>25</v>
      </c>
      <c r="G17" s="20" cm="1">
        <f t="array" ref="G17">IFERROR(IF($C$5&lt;&gt;"",INDEX(Commandes!G:G,SMALL(IF(Commandes!A:A=$C$5,ROW(Commandes!C:C)),ROW()-16)),""),"")</f>
        <v>200</v>
      </c>
    </row>
    <row r="18" spans="2:7" x14ac:dyDescent="0.25">
      <c r="B18" s="20" t="str">
        <f t="shared" ref="B18:B30" si="0">IF(C18&lt;&gt;"",ROW()-16,"")</f>
        <v/>
      </c>
      <c r="C18" s="20" t="str" cm="1">
        <f t="array" ref="C18">IFERROR(IF($C$5&lt;&gt;"",INDEX(Commandes!C:C,SMALL(IF(Commandes!A:A=$C$5,ROW(Commandes!C:C)),ROW()-16)),""),"")</f>
        <v/>
      </c>
      <c r="D18" s="20" t="str" cm="1">
        <f t="array" ref="D18">IFERROR(IF($C$5&lt;&gt;"",INDEX(Commandes!D:D,SMALL(IF(Commandes!A:A=$C$5,ROW(Commandes!C:C)),ROW()-16)),""),"")</f>
        <v/>
      </c>
      <c r="E18" s="20" t="str" cm="1">
        <f t="array" ref="E18">IFERROR(IF($C$5&lt;&gt;"",INDEX(Commandes!E:E,SMALL(IF(Commandes!A:A=$C$5,ROW(Commandes!C:C)),ROW()-16)),""),"")</f>
        <v/>
      </c>
      <c r="F18" s="20" t="str" cm="1">
        <f t="array" ref="F18">IFERROR(IF($C$5&lt;&gt;"",INDEX(Commandes!F:F,SMALL(IF(Commandes!A:A=$C$5,ROW(Commandes!C:C)),ROW()-16)),""),"")</f>
        <v/>
      </c>
      <c r="G18" s="20" t="str" cm="1">
        <f t="array" ref="G18">IFERROR(IF($C$5&lt;&gt;"",INDEX(Commandes!G:G,SMALL(IF(Commandes!A:A=$C$5,ROW(Commandes!C:C)),ROW()-16)),""),"")</f>
        <v/>
      </c>
    </row>
    <row r="19" spans="2:7" x14ac:dyDescent="0.25">
      <c r="B19" s="20" t="str">
        <f t="shared" si="0"/>
        <v/>
      </c>
      <c r="C19" s="20" t="str" cm="1">
        <f t="array" ref="C19">IFERROR(IF($C$5&lt;&gt;"",INDEX(Commandes!C:C,SMALL(IF(Commandes!A:A=$C$5,ROW(Commandes!C:C)),ROW()-16)),""),"")</f>
        <v/>
      </c>
      <c r="D19" s="20" t="str" cm="1">
        <f t="array" ref="D19">IFERROR(IF($C$5&lt;&gt;"",INDEX(Commandes!D:D,SMALL(IF(Commandes!A:A=$C$5,ROW(Commandes!C:C)),ROW()-16)),""),"")</f>
        <v/>
      </c>
      <c r="E19" s="20" t="str" cm="1">
        <f t="array" ref="E19">IFERROR(IF($C$5&lt;&gt;"",INDEX(Commandes!E:E,SMALL(IF(Commandes!A:A=$C$5,ROW(Commandes!C:C)),ROW()-16)),""),"")</f>
        <v/>
      </c>
      <c r="F19" s="20" t="str" cm="1">
        <f t="array" ref="F19">IFERROR(IF($C$5&lt;&gt;"",INDEX(Commandes!F:F,SMALL(IF(Commandes!A:A=$C$5,ROW(Commandes!C:C)),ROW()-16)),""),"")</f>
        <v/>
      </c>
      <c r="G19" s="20" t="str" cm="1">
        <f t="array" ref="G19">IFERROR(IF($C$5&lt;&gt;"",INDEX(Commandes!G:G,SMALL(IF(Commandes!A:A=$C$5,ROW(Commandes!C:C)),ROW()-16)),""),"")</f>
        <v/>
      </c>
    </row>
    <row r="20" spans="2:7" x14ac:dyDescent="0.25">
      <c r="B20" s="20" t="str">
        <f t="shared" si="0"/>
        <v/>
      </c>
      <c r="C20" s="20" t="str" cm="1">
        <f t="array" ref="C20">IFERROR(IF($C$5&lt;&gt;"",INDEX(Commandes!C:C,SMALL(IF(Commandes!A:A=$C$5,ROW(Commandes!C:C)),ROW()-16)),""),"")</f>
        <v/>
      </c>
      <c r="D20" s="20" t="str" cm="1">
        <f t="array" ref="D20">IFERROR(IF($C$5&lt;&gt;"",INDEX(Commandes!D:D,SMALL(IF(Commandes!A:A=$C$5,ROW(Commandes!C:C)),ROW()-16)),""),"")</f>
        <v/>
      </c>
      <c r="E20" s="20" t="str" cm="1">
        <f t="array" ref="E20">IFERROR(IF($C$5&lt;&gt;"",INDEX(Commandes!E:E,SMALL(IF(Commandes!A:A=$C$5,ROW(Commandes!C:C)),ROW()-16)),""),"")</f>
        <v/>
      </c>
      <c r="F20" s="20" t="str" cm="1">
        <f t="array" ref="F20">IFERROR(IF($C$5&lt;&gt;"",INDEX(Commandes!F:F,SMALL(IF(Commandes!A:A=$C$5,ROW(Commandes!C:C)),ROW()-16)),""),"")</f>
        <v/>
      </c>
      <c r="G20" s="20" t="str" cm="1">
        <f t="array" ref="G20">IFERROR(IF($C$5&lt;&gt;"",INDEX(Commandes!G:G,SMALL(IF(Commandes!A:A=$C$5,ROW(Commandes!C:C)),ROW()-16)),""),"")</f>
        <v/>
      </c>
    </row>
    <row r="21" spans="2:7" x14ac:dyDescent="0.25">
      <c r="B21" s="20" t="str">
        <f t="shared" si="0"/>
        <v/>
      </c>
      <c r="C21" s="20" t="str" cm="1">
        <f t="array" ref="C21">IFERROR(IF($C$5&lt;&gt;"",INDEX(Commandes!C:C,SMALL(IF(Commandes!A:A=$C$5,ROW(Commandes!C:C)),ROW()-16)),""),"")</f>
        <v/>
      </c>
      <c r="D21" s="20" t="str" cm="1">
        <f t="array" ref="D21">IFERROR(IF($C$5&lt;&gt;"",INDEX(Commandes!D:D,SMALL(IF(Commandes!A:A=$C$5,ROW(Commandes!C:C)),ROW()-16)),""),"")</f>
        <v/>
      </c>
      <c r="E21" s="20" t="str" cm="1">
        <f t="array" ref="E21">IFERROR(IF($C$5&lt;&gt;"",INDEX(Commandes!E:E,SMALL(IF(Commandes!A:A=$C$5,ROW(Commandes!C:C)),ROW()-16)),""),"")</f>
        <v/>
      </c>
      <c r="F21" s="20" t="str" cm="1">
        <f t="array" ref="F21">IFERROR(IF($C$5&lt;&gt;"",INDEX(Commandes!F:F,SMALL(IF(Commandes!A:A=$C$5,ROW(Commandes!C:C)),ROW()-16)),""),"")</f>
        <v/>
      </c>
      <c r="G21" s="20" t="str" cm="1">
        <f t="array" ref="G21">IFERROR(IF($C$5&lt;&gt;"",INDEX(Commandes!G:G,SMALL(IF(Commandes!A:A=$C$5,ROW(Commandes!C:C)),ROW()-16)),""),"")</f>
        <v/>
      </c>
    </row>
    <row r="22" spans="2:7" x14ac:dyDescent="0.25">
      <c r="B22" s="20" t="str">
        <f t="shared" si="0"/>
        <v/>
      </c>
      <c r="C22" s="20" t="str" cm="1">
        <f t="array" ref="C22">IFERROR(IF($C$5&lt;&gt;"",INDEX(Commandes!C:C,SMALL(IF(Commandes!A:A=$C$5,ROW(Commandes!C:C)),ROW()-16)),""),"")</f>
        <v/>
      </c>
      <c r="D22" s="20" t="str" cm="1">
        <f t="array" ref="D22">IFERROR(IF($C$5&lt;&gt;"",INDEX(Commandes!D:D,SMALL(IF(Commandes!A:A=$C$5,ROW(Commandes!C:C)),ROW()-16)),""),"")</f>
        <v/>
      </c>
      <c r="E22" s="20" t="str" cm="1">
        <f t="array" ref="E22">IFERROR(IF($C$5&lt;&gt;"",INDEX(Commandes!E:E,SMALL(IF(Commandes!A:A=$C$5,ROW(Commandes!C:C)),ROW()-16)),""),"")</f>
        <v/>
      </c>
      <c r="F22" s="20" t="str" cm="1">
        <f t="array" ref="F22">IFERROR(IF($C$5&lt;&gt;"",INDEX(Commandes!F:F,SMALL(IF(Commandes!A:A=$C$5,ROW(Commandes!C:C)),ROW()-16)),""),"")</f>
        <v/>
      </c>
      <c r="G22" s="20" t="str" cm="1">
        <f t="array" ref="G22">IFERROR(IF($C$5&lt;&gt;"",INDEX(Commandes!G:G,SMALL(IF(Commandes!A:A=$C$5,ROW(Commandes!C:C)),ROW()-16)),""),"")</f>
        <v/>
      </c>
    </row>
    <row r="23" spans="2:7" x14ac:dyDescent="0.25">
      <c r="B23" s="20" t="str">
        <f t="shared" si="0"/>
        <v/>
      </c>
      <c r="C23" s="20" t="str" cm="1">
        <f t="array" ref="C23">IFERROR(IF($C$5&lt;&gt;"",INDEX(Commandes!C:C,SMALL(IF(Commandes!A:A=$C$5,ROW(Commandes!C:C)),ROW()-16)),""),"")</f>
        <v/>
      </c>
      <c r="D23" s="20" t="str" cm="1">
        <f t="array" ref="D23">IFERROR(IF($C$5&lt;&gt;"",INDEX(Commandes!D:D,SMALL(IF(Commandes!A:A=$C$5,ROW(Commandes!C:C)),ROW()-16)),""),"")</f>
        <v/>
      </c>
      <c r="E23" s="20" t="str" cm="1">
        <f t="array" ref="E23">IFERROR(IF($C$5&lt;&gt;"",INDEX(Commandes!E:E,SMALL(IF(Commandes!A:A=$C$5,ROW(Commandes!C:C)),ROW()-16)),""),"")</f>
        <v/>
      </c>
      <c r="F23" s="20" t="str" cm="1">
        <f t="array" ref="F23">IFERROR(IF($C$5&lt;&gt;"",INDEX(Commandes!F:F,SMALL(IF(Commandes!A:A=$C$5,ROW(Commandes!C:C)),ROW()-16)),""),"")</f>
        <v/>
      </c>
      <c r="G23" s="20" t="str" cm="1">
        <f t="array" ref="G23">IFERROR(IF($C$5&lt;&gt;"",INDEX(Commandes!G:G,SMALL(IF(Commandes!A:A=$C$5,ROW(Commandes!C:C)),ROW()-16)),""),"")</f>
        <v/>
      </c>
    </row>
    <row r="24" spans="2:7" x14ac:dyDescent="0.25">
      <c r="B24" s="20" t="str">
        <f>IF(C24&lt;&gt;"",ROW()-16,"")</f>
        <v/>
      </c>
      <c r="C24" s="20" t="str" cm="1">
        <f t="array" ref="C24">IFERROR(IF($C$5&lt;&gt;"",INDEX(Commandes!C:C,SMALL(IF(Commandes!A:A=$C$5,ROW(Commandes!C:C)),ROW()-16)),""),"")</f>
        <v/>
      </c>
      <c r="D24" s="20" t="str" cm="1">
        <f t="array" ref="D24">IFERROR(IF($C$5&lt;&gt;"",INDEX(Commandes!D:D,SMALL(IF(Commandes!A:A=$C$5,ROW(Commandes!C:C)),ROW()-16)),""),"")</f>
        <v/>
      </c>
      <c r="E24" s="20" t="str" cm="1">
        <f t="array" ref="E24">IFERROR(IF($C$5&lt;&gt;"",INDEX(Commandes!E:E,SMALL(IF(Commandes!A:A=$C$5,ROW(Commandes!C:C)),ROW()-16)),""),"")</f>
        <v/>
      </c>
      <c r="F24" s="20" t="str" cm="1">
        <f t="array" ref="F24">IFERROR(IF($C$5&lt;&gt;"",INDEX(Commandes!F:F,SMALL(IF(Commandes!A:A=$C$5,ROW(Commandes!C:C)),ROW()-16)),""),"")</f>
        <v/>
      </c>
      <c r="G24" s="20" t="str" cm="1">
        <f t="array" ref="G24">IFERROR(IF($C$5&lt;&gt;"",INDEX(Commandes!G:G,SMALL(IF(Commandes!A:A=$C$5,ROW(Commandes!C:C)),ROW()-16)),""),"")</f>
        <v/>
      </c>
    </row>
    <row r="25" spans="2:7" x14ac:dyDescent="0.25">
      <c r="B25" s="20" t="str">
        <f t="shared" si="0"/>
        <v/>
      </c>
      <c r="C25" s="20" t="str" cm="1">
        <f t="array" ref="C25">IFERROR(IF($C$5&lt;&gt;"",INDEX(Commandes!C:C,SMALL(IF(Commandes!A:A=$C$5,ROW(Commandes!C:C)),ROW()-16)),""),"")</f>
        <v/>
      </c>
      <c r="D25" s="20" t="str" cm="1">
        <f t="array" ref="D25">IFERROR(IF($C$5&lt;&gt;"",INDEX(Commandes!D:D,SMALL(IF(Commandes!A:A=$C$5,ROW(Commandes!C:C)),ROW()-16)),""),"")</f>
        <v/>
      </c>
      <c r="E25" s="20" t="str" cm="1">
        <f t="array" ref="E25">IFERROR(IF($C$5&lt;&gt;"",INDEX(Commandes!E:E,SMALL(IF(Commandes!A:A=$C$5,ROW(Commandes!C:C)),ROW()-16)),""),"")</f>
        <v/>
      </c>
      <c r="F25" s="20" t="str" cm="1">
        <f t="array" ref="F25">IFERROR(IF($C$5&lt;&gt;"",INDEX(Commandes!F:F,SMALL(IF(Commandes!A:A=$C$5,ROW(Commandes!C:C)),ROW()-16)),""),"")</f>
        <v/>
      </c>
      <c r="G25" s="20" t="str" cm="1">
        <f t="array" ref="G25">IFERROR(IF($C$5&lt;&gt;"",INDEX(Commandes!G:G,SMALL(IF(Commandes!A:A=$C$5,ROW(Commandes!C:C)),ROW()-16)),""),"")</f>
        <v/>
      </c>
    </row>
    <row r="26" spans="2:7" x14ac:dyDescent="0.25">
      <c r="B26" s="20" t="str">
        <f t="shared" si="0"/>
        <v/>
      </c>
      <c r="C26" s="20" t="str" cm="1">
        <f t="array" ref="C26">IFERROR(IF($C$5&lt;&gt;"",INDEX(Commandes!C:C,SMALL(IF(Commandes!A:A=$C$5,ROW(Commandes!C:C)),ROW()-16)),""),"")</f>
        <v/>
      </c>
      <c r="D26" s="20" t="str" cm="1">
        <f t="array" ref="D26">IFERROR(IF($C$5&lt;&gt;"",INDEX(Commandes!D:D,SMALL(IF(Commandes!A:A=$C$5,ROW(Commandes!C:C)),ROW()-16)),""),"")</f>
        <v/>
      </c>
      <c r="E26" s="20" t="str" cm="1">
        <f t="array" ref="E26">IFERROR(IF($C$5&lt;&gt;"",INDEX(Commandes!E:E,SMALL(IF(Commandes!A:A=$C$5,ROW(Commandes!C:C)),ROW()-16)),""),"")</f>
        <v/>
      </c>
      <c r="F26" s="20" t="str" cm="1">
        <f t="array" ref="F26">IFERROR(IF($C$5&lt;&gt;"",INDEX(Commandes!F:F,SMALL(IF(Commandes!A:A=$C$5,ROW(Commandes!C:C)),ROW()-16)),""),"")</f>
        <v/>
      </c>
      <c r="G26" s="20" t="str" cm="1">
        <f t="array" ref="G26">IFERROR(IF($C$5&lt;&gt;"",INDEX(Commandes!G:G,SMALL(IF(Commandes!A:A=$C$5,ROW(Commandes!C:C)),ROW()-16)),""),"")</f>
        <v/>
      </c>
    </row>
    <row r="27" spans="2:7" x14ac:dyDescent="0.25">
      <c r="B27" s="20" t="str">
        <f t="shared" si="0"/>
        <v/>
      </c>
      <c r="C27" s="20" t="str" cm="1">
        <f t="array" ref="C27">IFERROR(IF($C$5&lt;&gt;"",INDEX(Commandes!C:C,SMALL(IF(Commandes!A:A=$C$5,ROW(Commandes!C:C)),ROW()-16)),""),"")</f>
        <v/>
      </c>
      <c r="D27" s="20" t="str" cm="1">
        <f t="array" ref="D27">IFERROR(IF($C$5&lt;&gt;"",INDEX(Commandes!D:D,SMALL(IF(Commandes!A:A=$C$5,ROW(Commandes!C:C)),ROW()-16)),""),"")</f>
        <v/>
      </c>
      <c r="E27" s="20" t="str" cm="1">
        <f t="array" ref="E27">IFERROR(IF($C$5&lt;&gt;"",INDEX(Commandes!E:E,SMALL(IF(Commandes!A:A=$C$5,ROW(Commandes!C:C)),ROW()-16)),""),"")</f>
        <v/>
      </c>
      <c r="F27" s="20" t="str" cm="1">
        <f t="array" ref="F27">IFERROR(IF($C$5&lt;&gt;"",INDEX(Commandes!F:F,SMALL(IF(Commandes!A:A=$C$5,ROW(Commandes!C:C)),ROW()-16)),""),"")</f>
        <v/>
      </c>
      <c r="G27" s="20" t="str" cm="1">
        <f t="array" ref="G27">IFERROR(IF($C$5&lt;&gt;"",INDEX(Commandes!G:G,SMALL(IF(Commandes!A:A=$C$5,ROW(Commandes!C:C)),ROW()-16)),""),"")</f>
        <v/>
      </c>
    </row>
    <row r="28" spans="2:7" x14ac:dyDescent="0.25">
      <c r="B28" s="20" t="str">
        <f t="shared" si="0"/>
        <v/>
      </c>
      <c r="C28" s="20" t="str" cm="1">
        <f t="array" ref="C28">IFERROR(IF($C$5&lt;&gt;"",INDEX(Commandes!C:C,SMALL(IF(Commandes!A:A=$C$5,ROW(Commandes!C:C)),ROW()-16)),""),"")</f>
        <v/>
      </c>
      <c r="D28" s="20" t="str" cm="1">
        <f t="array" ref="D28">IFERROR(IF($C$5&lt;&gt;"",INDEX(Commandes!D:D,SMALL(IF(Commandes!A:A=$C$5,ROW(Commandes!C:C)),ROW()-16)),""),"")</f>
        <v/>
      </c>
      <c r="E28" s="20" t="str" cm="1">
        <f t="array" ref="E28">IFERROR(IF($C$5&lt;&gt;"",INDEX(Commandes!E:E,SMALL(IF(Commandes!A:A=$C$5,ROW(Commandes!C:C)),ROW()-16)),""),"")</f>
        <v/>
      </c>
      <c r="F28" s="20" t="str" cm="1">
        <f t="array" ref="F28">IFERROR(IF($C$5&lt;&gt;"",INDEX(Commandes!F:F,SMALL(IF(Commandes!A:A=$C$5,ROW(Commandes!C:C)),ROW()-16)),""),"")</f>
        <v/>
      </c>
      <c r="G28" s="20" t="str" cm="1">
        <f t="array" ref="G28">IFERROR(IF($C$5&lt;&gt;"",INDEX(Commandes!G:G,SMALL(IF(Commandes!A:A=$C$5,ROW(Commandes!C:C)),ROW()-16)),""),"")</f>
        <v/>
      </c>
    </row>
    <row r="29" spans="2:7" x14ac:dyDescent="0.25">
      <c r="B29" s="20" t="str">
        <f t="shared" si="0"/>
        <v/>
      </c>
      <c r="C29" s="20" t="str" cm="1">
        <f t="array" ref="C29">IFERROR(IF($C$5&lt;&gt;"",INDEX(Commandes!C:C,SMALL(IF(Commandes!A:A=$C$5,ROW(Commandes!C:C)),ROW()-16)),""),"")</f>
        <v/>
      </c>
      <c r="D29" s="20" t="str" cm="1">
        <f t="array" ref="D29">IFERROR(IF($C$5&lt;&gt;"",INDEX(Commandes!D:D,SMALL(IF(Commandes!A:A=$C$5,ROW(Commandes!C:C)),ROW()-16)),""),"")</f>
        <v/>
      </c>
      <c r="E29" s="20" t="str" cm="1">
        <f t="array" ref="E29">IFERROR(IF($C$5&lt;&gt;"",INDEX(Commandes!E:E,SMALL(IF(Commandes!A:A=$C$5,ROW(Commandes!C:C)),ROW()-16)),""),"")</f>
        <v/>
      </c>
      <c r="F29" s="20" t="str" cm="1">
        <f t="array" ref="F29">IFERROR(IF($C$5&lt;&gt;"",INDEX(Commandes!F:F,SMALL(IF(Commandes!A:A=$C$5,ROW(Commandes!C:C)),ROW()-16)),""),"")</f>
        <v/>
      </c>
      <c r="G29" s="20" t="str" cm="1">
        <f t="array" ref="G29">IFERROR(IF($C$5&lt;&gt;"",INDEX(Commandes!G:G,SMALL(IF(Commandes!A:A=$C$5,ROW(Commandes!C:C)),ROW()-16)),""),"")</f>
        <v/>
      </c>
    </row>
    <row r="30" spans="2:7" x14ac:dyDescent="0.25">
      <c r="B30" s="20" t="str">
        <f t="shared" si="0"/>
        <v/>
      </c>
      <c r="C30" s="20" t="str" cm="1">
        <f t="array" ref="C30">IFERROR(IF($C$5&lt;&gt;"",INDEX(Commandes!C:C,SMALL(IF(Commandes!A:A=$C$5,ROW(Commandes!C:C)),ROW()-16)),""),"")</f>
        <v/>
      </c>
      <c r="D30" s="20" t="str" cm="1">
        <f t="array" ref="D30">IFERROR(IF($C$5&lt;&gt;"",INDEX(Commandes!D:D,SMALL(IF(Commandes!A:A=$C$5,ROW(Commandes!C:C)),ROW()-16)),""),"")</f>
        <v/>
      </c>
      <c r="E30" s="20" t="str" cm="1">
        <f t="array" ref="E30">IFERROR(IF($C$5&lt;&gt;"",INDEX(Commandes!E:E,SMALL(IF(Commandes!A:A=$C$5,ROW(Commandes!C:C)),ROW()-16)),""),"")</f>
        <v/>
      </c>
      <c r="F30" s="20" t="str" cm="1">
        <f t="array" ref="F30">IFERROR(IF($C$5&lt;&gt;"",INDEX(Commandes!F:F,SMALL(IF(Commandes!A:A=$C$5,ROW(Commandes!C:C)),ROW()-16)),""),"")</f>
        <v/>
      </c>
      <c r="G30" s="20" t="str" cm="1">
        <f t="array" ref="G30">IFERROR(IF($C$5&lt;&gt;"",INDEX(Commandes!G:G,SMALL(IF(Commandes!A:A=$C$5,ROW(Commandes!C:C)),ROW()-16)),""),"")</f>
        <v/>
      </c>
    </row>
    <row r="32" spans="2:7" x14ac:dyDescent="0.25">
      <c r="B32" s="46"/>
      <c r="C32" s="46"/>
      <c r="D32" s="46"/>
      <c r="E32" s="46"/>
      <c r="F32" s="46"/>
      <c r="G32" s="46"/>
    </row>
    <row r="33" spans="2:7" ht="19.5" customHeight="1" x14ac:dyDescent="0.25">
      <c r="B33" s="102" t="str">
        <f>Config!A35</f>
        <v>1. Retour &amp; échange: Les produits défectueux peuvent être retournés sous 48 heures, frais à charge du fournisseur. 
2. Garantie : Couverture de 72 heures, excluant l’usure normale et une mauvaise utilisation.  
3. Pénalités  : Retard de livraison ou paiement entraîne une pénalité de 50 euros.
4.Force majeure &amp; résiliation : Contrat résiliable avec préavis de 3 jous en cas de non-respect des engagements.</v>
      </c>
      <c r="C33" s="102"/>
      <c r="D33" s="102"/>
      <c r="E33" s="102"/>
      <c r="G33" s="48"/>
    </row>
    <row r="34" spans="2:7" x14ac:dyDescent="0.25">
      <c r="B34" s="103"/>
      <c r="C34" s="103"/>
      <c r="D34" s="103"/>
      <c r="E34" s="103"/>
      <c r="F34" s="37" t="s">
        <v>124</v>
      </c>
      <c r="G34" s="49">
        <f>SUM(G17:G30)</f>
        <v>200</v>
      </c>
    </row>
    <row r="35" spans="2:7" x14ac:dyDescent="0.25">
      <c r="B35" s="103"/>
      <c r="C35" s="103"/>
      <c r="D35" s="103"/>
      <c r="E35" s="103"/>
      <c r="F35" s="37" t="s">
        <v>123</v>
      </c>
      <c r="G35" s="49">
        <f>G34*0.21</f>
        <v>42</v>
      </c>
    </row>
    <row r="36" spans="2:7" ht="18" customHeight="1" thickBot="1" x14ac:dyDescent="0.3">
      <c r="B36" s="103"/>
      <c r="C36" s="103"/>
      <c r="D36" s="103"/>
      <c r="E36" s="103"/>
      <c r="F36" s="38" t="s">
        <v>122</v>
      </c>
      <c r="G36" s="50">
        <f>SUM(G34:G35)</f>
        <v>242</v>
      </c>
    </row>
  </sheetData>
  <mergeCells count="1">
    <mergeCell ref="B33:E36"/>
  </mergeCells>
  <conditionalFormatting sqref="B17:G27">
    <cfRule type="expression" dxfId="0" priority="1">
      <formula>$B17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205-56BD-4695-998D-A34BAA63C060}">
  <sheetPr codeName="Feuil5"/>
  <dimension ref="A1:I10"/>
  <sheetViews>
    <sheetView workbookViewId="0">
      <selection activeCell="H12" sqref="H12"/>
    </sheetView>
  </sheetViews>
  <sheetFormatPr baseColWidth="10" defaultRowHeight="15" x14ac:dyDescent="0.25"/>
  <cols>
    <col min="1" max="1" width="12.28515625" style="9" customWidth="1"/>
    <col min="2" max="2" width="18.7109375" style="9" bestFit="1" customWidth="1"/>
    <col min="3" max="3" width="20.85546875" style="9" customWidth="1"/>
    <col min="4" max="4" width="11.42578125" style="9"/>
    <col min="5" max="5" width="12.7109375" style="9" customWidth="1"/>
    <col min="6" max="6" width="11.42578125" style="22"/>
    <col min="7" max="7" width="11.42578125" style="9"/>
    <col min="8" max="8" width="12.42578125" style="9" customWidth="1"/>
    <col min="9" max="9" width="0.7109375" style="9" customWidth="1"/>
  </cols>
  <sheetData>
    <row r="1" spans="1:9" ht="20.25" customHeight="1" x14ac:dyDescent="0.25">
      <c r="A1" s="3" t="s">
        <v>75</v>
      </c>
      <c r="B1" s="3" t="s">
        <v>76</v>
      </c>
      <c r="C1" s="3" t="s">
        <v>77</v>
      </c>
      <c r="D1" s="4" t="s">
        <v>78</v>
      </c>
      <c r="E1" s="3" t="s">
        <v>79</v>
      </c>
      <c r="F1" s="4" t="s">
        <v>80</v>
      </c>
      <c r="G1" s="21" t="s">
        <v>92</v>
      </c>
      <c r="H1" s="73" t="s">
        <v>81</v>
      </c>
      <c r="I1" s="74"/>
    </row>
    <row r="2" spans="1:9" x14ac:dyDescent="0.25">
      <c r="A2" s="8" t="s">
        <v>91</v>
      </c>
      <c r="B2" s="8" t="s">
        <v>139</v>
      </c>
      <c r="C2" s="8" t="s">
        <v>99</v>
      </c>
      <c r="D2" s="8" t="s">
        <v>34</v>
      </c>
      <c r="E2" s="8"/>
      <c r="F2" s="8" t="s">
        <v>74</v>
      </c>
      <c r="G2" s="71">
        <v>30</v>
      </c>
      <c r="H2" s="75" t="str">
        <f>IF(I2&lt;&gt;"",RANK(I2,I$2:I$98,0),"")</f>
        <v/>
      </c>
      <c r="I2" s="76" t="str">
        <f>IF(A2="Sortie",G2,"")</f>
        <v/>
      </c>
    </row>
    <row r="3" spans="1:9" x14ac:dyDescent="0.25">
      <c r="A3" s="8" t="s">
        <v>91</v>
      </c>
      <c r="B3" s="8" t="s">
        <v>139</v>
      </c>
      <c r="C3" s="8" t="s">
        <v>99</v>
      </c>
      <c r="D3" s="8" t="s">
        <v>34</v>
      </c>
      <c r="E3" s="8"/>
      <c r="F3" s="8" t="s">
        <v>90</v>
      </c>
      <c r="G3" s="71">
        <v>5</v>
      </c>
      <c r="H3" s="75" t="str">
        <f>IF(I3&lt;&gt;"",RANK(I3,I$2:I$98,0),"")</f>
        <v/>
      </c>
      <c r="I3" s="76" t="str">
        <f t="shared" ref="I3:I5" si="0">IF(A3="Sortie",G3,"")</f>
        <v/>
      </c>
    </row>
    <row r="4" spans="1:9" x14ac:dyDescent="0.25">
      <c r="A4" s="8" t="s">
        <v>100</v>
      </c>
      <c r="B4" s="8" t="s">
        <v>140</v>
      </c>
      <c r="C4" s="8" t="s">
        <v>108</v>
      </c>
      <c r="D4" s="8" t="s">
        <v>35</v>
      </c>
      <c r="E4" s="8"/>
      <c r="F4" s="8" t="s">
        <v>74</v>
      </c>
      <c r="G4" s="71">
        <v>6</v>
      </c>
      <c r="H4" s="75">
        <f>IF(I4&lt;&gt;"",RANK(I4,I$2:I$98,0),"")</f>
        <v>1</v>
      </c>
      <c r="I4" s="76">
        <f t="shared" si="0"/>
        <v>6</v>
      </c>
    </row>
    <row r="5" spans="1:9" x14ac:dyDescent="0.25">
      <c r="A5" s="67" t="s">
        <v>91</v>
      </c>
      <c r="B5" s="67">
        <v>33434</v>
      </c>
      <c r="C5" s="67" t="s">
        <v>99</v>
      </c>
      <c r="D5" s="67" t="s">
        <v>35</v>
      </c>
      <c r="E5" s="67"/>
      <c r="F5" s="67" t="s">
        <v>141</v>
      </c>
      <c r="G5" s="72">
        <v>20</v>
      </c>
      <c r="H5" s="75" t="str">
        <f>IF(I5&lt;&gt;"",RANK(I5,I$2:I$98,0),"")</f>
        <v/>
      </c>
      <c r="I5" s="76" t="str">
        <f t="shared" si="0"/>
        <v/>
      </c>
    </row>
    <row r="6" spans="1:9" x14ac:dyDescent="0.25">
      <c r="A6"/>
      <c r="B6"/>
      <c r="C6"/>
      <c r="D6"/>
      <c r="E6"/>
      <c r="F6"/>
      <c r="G6"/>
      <c r="H6"/>
      <c r="I6"/>
    </row>
    <row r="7" spans="1:9" x14ac:dyDescent="0.25">
      <c r="A7"/>
      <c r="B7"/>
      <c r="C7"/>
      <c r="D7"/>
      <c r="E7"/>
      <c r="F7"/>
      <c r="G7"/>
      <c r="H7"/>
      <c r="I7"/>
    </row>
    <row r="8" spans="1:9" x14ac:dyDescent="0.25">
      <c r="A8"/>
      <c r="B8"/>
      <c r="C8"/>
      <c r="D8"/>
      <c r="E8"/>
      <c r="F8"/>
      <c r="G8"/>
      <c r="H8"/>
      <c r="I8"/>
    </row>
    <row r="9" spans="1:9" x14ac:dyDescent="0.25">
      <c r="A9"/>
      <c r="B9"/>
      <c r="C9"/>
      <c r="D9"/>
      <c r="E9"/>
      <c r="F9"/>
      <c r="G9"/>
      <c r="H9"/>
      <c r="I9"/>
    </row>
    <row r="10" spans="1:9" x14ac:dyDescent="0.25">
      <c r="A10"/>
      <c r="B10"/>
      <c r="C10"/>
      <c r="D10"/>
      <c r="E10"/>
      <c r="F10"/>
      <c r="G10"/>
      <c r="H10"/>
      <c r="I10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2CB04-0156-4B80-BF89-0CDDD0FEC701}">
  <sheetPr codeName="Feuil6"/>
  <dimension ref="A1:H11"/>
  <sheetViews>
    <sheetView workbookViewId="0">
      <selection activeCell="F13" sqref="F13"/>
    </sheetView>
  </sheetViews>
  <sheetFormatPr baseColWidth="10" defaultRowHeight="15" x14ac:dyDescent="0.25"/>
  <cols>
    <col min="1" max="1" width="10.28515625" customWidth="1"/>
    <col min="2" max="2" width="17.7109375" customWidth="1"/>
    <col min="3" max="4" width="12.28515625" customWidth="1"/>
    <col min="5" max="5" width="11.42578125" bestFit="1" customWidth="1"/>
    <col min="6" max="6" width="12.28515625" customWidth="1"/>
    <col min="7" max="7" width="26.85546875" bestFit="1" customWidth="1"/>
    <col min="8" max="8" width="17.5703125" bestFit="1" customWidth="1"/>
  </cols>
  <sheetData>
    <row r="1" spans="1:8" x14ac:dyDescent="0.25">
      <c r="A1" s="3" t="s">
        <v>0</v>
      </c>
      <c r="B1" s="3" t="s">
        <v>17</v>
      </c>
      <c r="C1" s="3" t="s">
        <v>26</v>
      </c>
      <c r="D1" s="3" t="s">
        <v>32</v>
      </c>
      <c r="E1" s="3" t="s">
        <v>72</v>
      </c>
      <c r="F1" s="4" t="s">
        <v>28</v>
      </c>
      <c r="G1" s="3" t="s">
        <v>30</v>
      </c>
      <c r="H1" s="4" t="s">
        <v>31</v>
      </c>
    </row>
    <row r="2" spans="1:8" x14ac:dyDescent="0.25">
      <c r="A2" s="1" t="s">
        <v>34</v>
      </c>
      <c r="B2" s="1" t="s">
        <v>42</v>
      </c>
      <c r="C2" s="1" t="s">
        <v>27</v>
      </c>
      <c r="D2" s="1" t="s">
        <v>33</v>
      </c>
      <c r="E2" s="15">
        <f>_xlfn.XLOOKUP(C2,Config!$F$5:$F$18,Config!$G$5:$G$18)</f>
        <v>10000</v>
      </c>
      <c r="F2" s="8">
        <v>781883408</v>
      </c>
      <c r="G2" s="7" t="s">
        <v>29</v>
      </c>
      <c r="H2" s="5" t="str">
        <f>_xlfn.CONCAT(LEFT(C2,5),"-",E2,"-",LEFT(D2,3))</f>
        <v>Dakar-10000-Sen</v>
      </c>
    </row>
    <row r="3" spans="1:8" x14ac:dyDescent="0.25">
      <c r="A3" s="1" t="s">
        <v>35</v>
      </c>
      <c r="B3" s="1" t="s">
        <v>43</v>
      </c>
      <c r="C3" s="1" t="s">
        <v>27</v>
      </c>
      <c r="D3" s="1" t="s">
        <v>33</v>
      </c>
      <c r="E3" s="15">
        <f>_xlfn.XLOOKUP(C3,Config!$F$5:$F$18,Config!$G$5:$G$18)</f>
        <v>10000</v>
      </c>
      <c r="F3" s="8">
        <v>781883409</v>
      </c>
      <c r="G3" s="7" t="s">
        <v>29</v>
      </c>
      <c r="H3" s="5" t="str">
        <f t="shared" ref="H3:H11" si="0">_xlfn.CONCAT(LEFT(C3,5),"-",E3,"-",LEFT(D3,3))</f>
        <v>Dakar-10000-Sen</v>
      </c>
    </row>
    <row r="4" spans="1:8" x14ac:dyDescent="0.25">
      <c r="A4" s="1" t="s">
        <v>36</v>
      </c>
      <c r="B4" s="1" t="s">
        <v>44</v>
      </c>
      <c r="C4" s="1" t="s">
        <v>27</v>
      </c>
      <c r="D4" s="1" t="s">
        <v>33</v>
      </c>
      <c r="E4" s="15">
        <f>_xlfn.XLOOKUP(C4,Config!$F$5:$F$18,Config!$G$5:$G$18)</f>
        <v>10000</v>
      </c>
      <c r="F4" s="8">
        <v>781883410</v>
      </c>
      <c r="G4" s="7" t="s">
        <v>29</v>
      </c>
      <c r="H4" s="5" t="str">
        <f t="shared" si="0"/>
        <v>Dakar-10000-Sen</v>
      </c>
    </row>
    <row r="5" spans="1:8" x14ac:dyDescent="0.25">
      <c r="A5" s="1" t="s">
        <v>37</v>
      </c>
      <c r="B5" s="1" t="s">
        <v>45</v>
      </c>
      <c r="C5" s="1" t="s">
        <v>27</v>
      </c>
      <c r="D5" s="1" t="s">
        <v>33</v>
      </c>
      <c r="E5" s="15">
        <f>_xlfn.XLOOKUP(C5,Config!$F$5:$F$18,Config!$G$5:$G$18)</f>
        <v>10000</v>
      </c>
      <c r="F5" s="8">
        <v>781883411</v>
      </c>
      <c r="G5" s="7" t="s">
        <v>29</v>
      </c>
      <c r="H5" s="5" t="str">
        <f t="shared" si="0"/>
        <v>Dakar-10000-Sen</v>
      </c>
    </row>
    <row r="6" spans="1:8" x14ac:dyDescent="0.25">
      <c r="A6" s="1" t="s">
        <v>38</v>
      </c>
      <c r="B6" s="1" t="s">
        <v>46</v>
      </c>
      <c r="C6" s="1" t="s">
        <v>27</v>
      </c>
      <c r="D6" s="1" t="s">
        <v>33</v>
      </c>
      <c r="E6" s="15">
        <f>_xlfn.XLOOKUP(C6,Config!$F$5:$F$18,Config!$G$5:$G$18)</f>
        <v>10000</v>
      </c>
      <c r="F6" s="8">
        <v>781883412</v>
      </c>
      <c r="G6" s="7" t="s">
        <v>29</v>
      </c>
      <c r="H6" s="5" t="str">
        <f t="shared" si="0"/>
        <v>Dakar-10000-Sen</v>
      </c>
    </row>
    <row r="7" spans="1:8" x14ac:dyDescent="0.25">
      <c r="A7" s="1" t="s">
        <v>39</v>
      </c>
      <c r="B7" s="1" t="s">
        <v>47</v>
      </c>
      <c r="C7" s="1" t="s">
        <v>27</v>
      </c>
      <c r="D7" s="1" t="s">
        <v>33</v>
      </c>
      <c r="E7" s="15">
        <f>_xlfn.XLOOKUP(C7,Config!$F$5:$F$18,Config!$G$5:$G$18)</f>
        <v>10000</v>
      </c>
      <c r="F7" s="8">
        <v>781883413</v>
      </c>
      <c r="G7" s="7" t="s">
        <v>29</v>
      </c>
      <c r="H7" s="5" t="str">
        <f t="shared" si="0"/>
        <v>Dakar-10000-Sen</v>
      </c>
    </row>
    <row r="8" spans="1:8" x14ac:dyDescent="0.25">
      <c r="A8" s="1" t="s">
        <v>40</v>
      </c>
      <c r="B8" s="1" t="s">
        <v>48</v>
      </c>
      <c r="C8" s="1" t="s">
        <v>27</v>
      </c>
      <c r="D8" s="1" t="s">
        <v>33</v>
      </c>
      <c r="E8" s="15">
        <f>IFERROR(_xlfn.XLOOKUP(C8,Config!$F$5:$F$18,Config!$G$5:$G$18),"")</f>
        <v>10000</v>
      </c>
      <c r="F8" s="8">
        <v>781883414</v>
      </c>
      <c r="G8" s="7" t="s">
        <v>29</v>
      </c>
      <c r="H8" s="5" t="str">
        <f t="shared" si="0"/>
        <v>Dakar-10000-Sen</v>
      </c>
    </row>
    <row r="9" spans="1:8" x14ac:dyDescent="0.25">
      <c r="A9" s="1" t="s">
        <v>41</v>
      </c>
      <c r="B9" s="1" t="s">
        <v>49</v>
      </c>
      <c r="C9" s="1" t="s">
        <v>27</v>
      </c>
      <c r="D9" s="1" t="s">
        <v>33</v>
      </c>
      <c r="E9" s="15">
        <f>_xlfn.XLOOKUP(C9,Config!$F$5:$F$18,Config!$G$5:$G$18)</f>
        <v>10000</v>
      </c>
      <c r="F9" s="8">
        <v>781883415</v>
      </c>
      <c r="G9" s="7" t="s">
        <v>29</v>
      </c>
      <c r="H9" s="5" t="str">
        <f t="shared" si="0"/>
        <v>Dakar-10000-Sen</v>
      </c>
    </row>
    <row r="10" spans="1:8" x14ac:dyDescent="0.25">
      <c r="A10" s="1" t="s">
        <v>82</v>
      </c>
      <c r="B10" s="1" t="s">
        <v>84</v>
      </c>
      <c r="C10" s="1" t="s">
        <v>71</v>
      </c>
      <c r="D10" s="1" t="s">
        <v>33</v>
      </c>
      <c r="E10" s="15">
        <f>_xlfn.XLOOKUP(C10,Config!$F$5:$F$18,Config!$G$5:$G$18)</f>
        <v>20000</v>
      </c>
      <c r="F10" s="8">
        <v>781883415</v>
      </c>
      <c r="G10" s="7" t="s">
        <v>29</v>
      </c>
      <c r="H10" s="5" t="str">
        <f t="shared" si="0"/>
        <v>Thiès-20000-Sen</v>
      </c>
    </row>
    <row r="11" spans="1:8" x14ac:dyDescent="0.25">
      <c r="A11" s="1" t="s">
        <v>83</v>
      </c>
      <c r="B11" s="1" t="s">
        <v>85</v>
      </c>
      <c r="C11" s="1" t="s">
        <v>27</v>
      </c>
      <c r="D11" s="1" t="s">
        <v>33</v>
      </c>
      <c r="E11" s="15">
        <f>_xlfn.XLOOKUP(C11,Config!$F$5:$F$18,Config!$G$5:$G$18)</f>
        <v>10000</v>
      </c>
      <c r="F11" s="8">
        <v>781883415</v>
      </c>
      <c r="G11" s="7" t="s">
        <v>29</v>
      </c>
      <c r="H11" s="5" t="str">
        <f t="shared" si="0"/>
        <v>Dakar-10000-Sen</v>
      </c>
    </row>
  </sheetData>
  <phoneticPr fontId="2" type="noConversion"/>
  <hyperlinks>
    <hyperlink ref="G2" r:id="rId1" xr:uid="{FF26F242-66F5-4854-B8D6-647F8BD53C2F}"/>
    <hyperlink ref="G3:G9" r:id="rId2" display="ravidikatsou.fils@gmail.com" xr:uid="{A0BBA9BD-6BDA-4DC3-8629-F7EAB8BD2490}"/>
    <hyperlink ref="G10:G11" r:id="rId3" display="ravidikatsou.fils@gmail.com" xr:uid="{C1428560-074C-457D-AAF9-33D24967B1EB}"/>
  </hyperlinks>
  <pageMargins left="0.7" right="0.7" top="0.75" bottom="0.75" header="0.3" footer="0.3"/>
  <ignoredErrors>
    <ignoredError sqref="E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23472-1D6C-4D2B-A6A4-98C20D09D35E}">
  <sheetPr codeName="Feuil7"/>
  <dimension ref="A1:H11"/>
  <sheetViews>
    <sheetView workbookViewId="0">
      <selection activeCell="E19" sqref="E19"/>
    </sheetView>
  </sheetViews>
  <sheetFormatPr baseColWidth="10" defaultRowHeight="15" x14ac:dyDescent="0.25"/>
  <cols>
    <col min="1" max="1" width="12.7109375" customWidth="1"/>
    <col min="2" max="2" width="19" customWidth="1"/>
    <col min="3" max="4" width="15" customWidth="1"/>
    <col min="5" max="5" width="11.42578125" bestFit="1" customWidth="1"/>
    <col min="6" max="6" width="14.85546875" style="9" customWidth="1"/>
    <col min="7" max="7" width="29.42578125" customWidth="1"/>
    <col min="8" max="8" width="17.42578125" bestFit="1" customWidth="1"/>
  </cols>
  <sheetData>
    <row r="1" spans="1:8" x14ac:dyDescent="0.25">
      <c r="A1" s="3" t="s">
        <v>0</v>
      </c>
      <c r="B1" s="3" t="s">
        <v>17</v>
      </c>
      <c r="C1" s="3" t="s">
        <v>26</v>
      </c>
      <c r="D1" s="3" t="s">
        <v>32</v>
      </c>
      <c r="E1" s="3" t="s">
        <v>72</v>
      </c>
      <c r="F1" s="4" t="s">
        <v>28</v>
      </c>
      <c r="G1" s="3" t="s">
        <v>30</v>
      </c>
      <c r="H1" s="4" t="s">
        <v>31</v>
      </c>
    </row>
    <row r="2" spans="1:8" x14ac:dyDescent="0.25">
      <c r="A2" s="1" t="s">
        <v>9</v>
      </c>
      <c r="B2" s="15" t="s">
        <v>18</v>
      </c>
      <c r="C2" s="15" t="s">
        <v>27</v>
      </c>
      <c r="D2" s="15" t="s">
        <v>33</v>
      </c>
      <c r="E2" s="15">
        <f>_xlfn.XLOOKUP(C2,Config!$F$5:$F$18,Config!$G$5:$G$18)</f>
        <v>10000</v>
      </c>
      <c r="F2" s="15">
        <v>781883408</v>
      </c>
      <c r="G2" s="18" t="s">
        <v>29</v>
      </c>
      <c r="H2" s="16" t="str">
        <f>_xlfn.CONCAT(LEFT(C2,5),"-",E2,"-",LEFT(D2,3))</f>
        <v>Dakar-10000-Sen</v>
      </c>
    </row>
    <row r="3" spans="1:8" x14ac:dyDescent="0.25">
      <c r="A3" s="1" t="s">
        <v>10</v>
      </c>
      <c r="B3" s="15" t="s">
        <v>19</v>
      </c>
      <c r="C3" s="15" t="s">
        <v>27</v>
      </c>
      <c r="D3" s="15" t="s">
        <v>33</v>
      </c>
      <c r="E3" s="15">
        <f>_xlfn.XLOOKUP(C3,Config!$F$5:$F$18,Config!$G$5:$G$18)</f>
        <v>10000</v>
      </c>
      <c r="F3" s="15">
        <v>781883409</v>
      </c>
      <c r="G3" s="18" t="s">
        <v>29</v>
      </c>
      <c r="H3" s="16" t="str">
        <f t="shared" ref="H3:H11" si="0">_xlfn.CONCAT(LEFT(C3,5),"-",E3,"-",LEFT(D3,3))</f>
        <v>Dakar-10000-Sen</v>
      </c>
    </row>
    <row r="4" spans="1:8" x14ac:dyDescent="0.25">
      <c r="A4" s="1" t="s">
        <v>11</v>
      </c>
      <c r="B4" s="15" t="s">
        <v>20</v>
      </c>
      <c r="C4" s="15" t="s">
        <v>27</v>
      </c>
      <c r="D4" s="15" t="s">
        <v>33</v>
      </c>
      <c r="E4" s="15">
        <f>_xlfn.XLOOKUP(C4,Config!$F$5:$F$18,Config!$G$5:$G$18)</f>
        <v>10000</v>
      </c>
      <c r="F4" s="15">
        <v>781883410</v>
      </c>
      <c r="G4" s="18" t="s">
        <v>29</v>
      </c>
      <c r="H4" s="16" t="str">
        <f t="shared" si="0"/>
        <v>Dakar-10000-Sen</v>
      </c>
    </row>
    <row r="5" spans="1:8" x14ac:dyDescent="0.25">
      <c r="A5" s="1" t="s">
        <v>12</v>
      </c>
      <c r="B5" s="15" t="s">
        <v>21</v>
      </c>
      <c r="C5" s="15" t="s">
        <v>63</v>
      </c>
      <c r="D5" s="15" t="s">
        <v>33</v>
      </c>
      <c r="E5" s="15">
        <f>_xlfn.XLOOKUP(C5,Config!$F$5:$F$18,Config!$G$5:$G$18)</f>
        <v>23000</v>
      </c>
      <c r="F5" s="15">
        <v>781883411</v>
      </c>
      <c r="G5" s="18" t="s">
        <v>29</v>
      </c>
      <c r="H5" s="16" t="str">
        <f t="shared" si="0"/>
        <v>Fatic-23000-Sen</v>
      </c>
    </row>
    <row r="6" spans="1:8" x14ac:dyDescent="0.25">
      <c r="A6" s="1" t="s">
        <v>13</v>
      </c>
      <c r="B6" s="15" t="s">
        <v>22</v>
      </c>
      <c r="C6" s="15" t="s">
        <v>27</v>
      </c>
      <c r="D6" s="15" t="s">
        <v>33</v>
      </c>
      <c r="E6" s="15">
        <f>_xlfn.XLOOKUP(C6,Config!$F$5:$F$18,Config!$G$5:$G$18)</f>
        <v>10000</v>
      </c>
      <c r="F6" s="15">
        <v>781883412</v>
      </c>
      <c r="G6" s="18" t="s">
        <v>29</v>
      </c>
      <c r="H6" s="16" t="str">
        <f t="shared" si="0"/>
        <v>Dakar-10000-Sen</v>
      </c>
    </row>
    <row r="7" spans="1:8" x14ac:dyDescent="0.25">
      <c r="A7" s="1" t="s">
        <v>14</v>
      </c>
      <c r="B7" s="15" t="s">
        <v>23</v>
      </c>
      <c r="C7" s="15" t="s">
        <v>71</v>
      </c>
      <c r="D7" s="15" t="s">
        <v>33</v>
      </c>
      <c r="E7" s="15">
        <f>_xlfn.XLOOKUP(C7,Config!$F$5:$F$18,Config!$G$5:$G$18)</f>
        <v>20000</v>
      </c>
      <c r="F7" s="15">
        <v>781883413</v>
      </c>
      <c r="G7" s="18" t="s">
        <v>29</v>
      </c>
      <c r="H7" s="16" t="str">
        <f t="shared" si="0"/>
        <v>Thiès-20000-Sen</v>
      </c>
    </row>
    <row r="8" spans="1:8" x14ac:dyDescent="0.25">
      <c r="A8" s="1" t="s">
        <v>15</v>
      </c>
      <c r="B8" s="15" t="s">
        <v>24</v>
      </c>
      <c r="C8" s="15" t="s">
        <v>71</v>
      </c>
      <c r="D8" s="15" t="s">
        <v>33</v>
      </c>
      <c r="E8" s="15">
        <f>_xlfn.XLOOKUP(C8,Config!$F$5:$F$18,Config!$G$5:$G$18)</f>
        <v>20000</v>
      </c>
      <c r="F8" s="15">
        <v>781883414</v>
      </c>
      <c r="G8" s="18" t="s">
        <v>29</v>
      </c>
      <c r="H8" s="16" t="str">
        <f t="shared" ref="H8:H9" si="1">_xlfn.CONCAT(LEFT(C8,5),"-",E8,"-",LEFT(D8,3))</f>
        <v>Thiès-20000-Sen</v>
      </c>
    </row>
    <row r="9" spans="1:8" x14ac:dyDescent="0.25">
      <c r="A9" s="1" t="s">
        <v>16</v>
      </c>
      <c r="B9" s="15" t="s">
        <v>25</v>
      </c>
      <c r="C9" s="15" t="s">
        <v>71</v>
      </c>
      <c r="D9" s="15" t="s">
        <v>33</v>
      </c>
      <c r="E9" s="15">
        <f>_xlfn.XLOOKUP(C9,Config!$F$5:$F$18,Config!$G$5:$G$18)</f>
        <v>20000</v>
      </c>
      <c r="F9" s="15">
        <v>781883414</v>
      </c>
      <c r="G9" s="18" t="s">
        <v>29</v>
      </c>
      <c r="H9" s="16" t="str">
        <f t="shared" si="1"/>
        <v>Thiès-20000-Sen</v>
      </c>
    </row>
    <row r="10" spans="1:8" x14ac:dyDescent="0.25">
      <c r="A10" s="1" t="s">
        <v>86</v>
      </c>
      <c r="B10" s="15" t="s">
        <v>88</v>
      </c>
      <c r="C10" s="15" t="s">
        <v>71</v>
      </c>
      <c r="D10" s="15" t="s">
        <v>33</v>
      </c>
      <c r="E10" s="15">
        <f>_xlfn.XLOOKUP(C10,Config!$F$5:$F$18,Config!$G$5:$G$18)</f>
        <v>20000</v>
      </c>
      <c r="F10" s="15">
        <v>781883414</v>
      </c>
      <c r="G10" s="18" t="s">
        <v>29</v>
      </c>
      <c r="H10" s="16" t="str">
        <f t="shared" si="0"/>
        <v>Thiès-20000-Sen</v>
      </c>
    </row>
    <row r="11" spans="1:8" x14ac:dyDescent="0.25">
      <c r="A11" s="1" t="s">
        <v>87</v>
      </c>
      <c r="B11" s="15" t="s">
        <v>89</v>
      </c>
      <c r="C11" s="15" t="s">
        <v>27</v>
      </c>
      <c r="D11" s="15" t="s">
        <v>33</v>
      </c>
      <c r="E11" s="15">
        <f>_xlfn.XLOOKUP(C11,Config!$F$5:$F$18,Config!$G$5:$G$18)</f>
        <v>10000</v>
      </c>
      <c r="F11" s="15">
        <v>781883415</v>
      </c>
      <c r="G11" s="18" t="s">
        <v>29</v>
      </c>
      <c r="H11" s="16" t="str">
        <f t="shared" si="0"/>
        <v>Dakar-10000-Sen</v>
      </c>
    </row>
  </sheetData>
  <phoneticPr fontId="2" type="noConversion"/>
  <hyperlinks>
    <hyperlink ref="G2" r:id="rId1" xr:uid="{9020D9A5-02B7-444B-A3CF-9EAF6C556E6C}"/>
    <hyperlink ref="G8" r:id="rId2" xr:uid="{A42853B6-17FB-42DF-8390-2AC2AB4F0584}"/>
    <hyperlink ref="G9" r:id="rId3" xr:uid="{720B7ADF-1FDE-4801-A776-0613E721EAF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FAD33-F304-4158-8795-2374F358857F}">
  <sheetPr codeName="Feuil8"/>
  <dimension ref="A1:G35"/>
  <sheetViews>
    <sheetView topLeftCell="A12" zoomScale="118" zoomScaleNormal="118" workbookViewId="0">
      <selection activeCell="E32" sqref="E32"/>
    </sheetView>
  </sheetViews>
  <sheetFormatPr baseColWidth="10" defaultRowHeight="15" x14ac:dyDescent="0.25"/>
  <cols>
    <col min="1" max="1" width="17.7109375" customWidth="1"/>
    <col min="2" max="2" width="23.7109375" bestFit="1" customWidth="1"/>
    <col min="3" max="3" width="18.7109375" style="20" customWidth="1"/>
    <col min="6" max="6" width="13.85546875" bestFit="1" customWidth="1"/>
  </cols>
  <sheetData>
    <row r="1" spans="1:7" ht="6.75" customHeight="1" x14ac:dyDescent="0.25"/>
    <row r="2" spans="1:7" ht="6.75" customHeight="1" x14ac:dyDescent="0.25"/>
    <row r="3" spans="1:7" ht="6" customHeight="1" x14ac:dyDescent="0.25"/>
    <row r="4" spans="1:7" x14ac:dyDescent="0.25">
      <c r="A4" s="10" t="s">
        <v>52</v>
      </c>
      <c r="B4" s="11"/>
      <c r="C4" s="54"/>
      <c r="D4" s="11"/>
      <c r="F4" s="104" t="s">
        <v>58</v>
      </c>
      <c r="G4" s="104"/>
    </row>
    <row r="5" spans="1:7" ht="13.5" customHeight="1" x14ac:dyDescent="0.25">
      <c r="F5" s="17" t="s">
        <v>27</v>
      </c>
      <c r="G5" s="34">
        <v>10000</v>
      </c>
    </row>
    <row r="6" spans="1:7" x14ac:dyDescent="0.25">
      <c r="A6" s="12" t="s">
        <v>54</v>
      </c>
      <c r="B6" s="13" t="s">
        <v>55</v>
      </c>
      <c r="C6" s="13">
        <v>4</v>
      </c>
      <c r="D6" s="14" t="str">
        <f>B6&amp;TEXT(C6,"00000")</f>
        <v>ART-00004</v>
      </c>
      <c r="F6" s="17" t="s">
        <v>71</v>
      </c>
      <c r="G6" s="34">
        <v>20000</v>
      </c>
    </row>
    <row r="7" spans="1:7" x14ac:dyDescent="0.25">
      <c r="A7" s="12" t="s">
        <v>8</v>
      </c>
      <c r="B7" s="13" t="s">
        <v>53</v>
      </c>
      <c r="C7" s="13">
        <v>6</v>
      </c>
      <c r="D7" s="14" t="str">
        <f>B7&amp;TEXT(C7,"00000")</f>
        <v>ORD-00006</v>
      </c>
      <c r="F7" s="17" t="s">
        <v>70</v>
      </c>
      <c r="G7" s="34">
        <v>30000</v>
      </c>
    </row>
    <row r="8" spans="1:7" x14ac:dyDescent="0.25">
      <c r="A8" s="12" t="s">
        <v>56</v>
      </c>
      <c r="B8" s="13" t="s">
        <v>57</v>
      </c>
      <c r="C8" s="13">
        <v>3</v>
      </c>
      <c r="D8" s="14" t="str">
        <f>B8&amp;TEXT(C8,"00000")</f>
        <v>BOO-00003</v>
      </c>
      <c r="F8" s="17" t="s">
        <v>69</v>
      </c>
      <c r="G8" s="34">
        <v>24000</v>
      </c>
    </row>
    <row r="9" spans="1:7" x14ac:dyDescent="0.25">
      <c r="F9" s="17" t="s">
        <v>68</v>
      </c>
      <c r="G9" s="34">
        <v>27000</v>
      </c>
    </row>
    <row r="10" spans="1:7" x14ac:dyDescent="0.25">
      <c r="F10" s="17" t="s">
        <v>67</v>
      </c>
      <c r="G10" s="34">
        <v>32000</v>
      </c>
    </row>
    <row r="11" spans="1:7" x14ac:dyDescent="0.25">
      <c r="F11" s="17" t="s">
        <v>66</v>
      </c>
      <c r="G11" s="34">
        <v>34000</v>
      </c>
    </row>
    <row r="12" spans="1:7" x14ac:dyDescent="0.25">
      <c r="A12" s="32" t="s">
        <v>101</v>
      </c>
      <c r="B12" s="11"/>
      <c r="C12" s="54"/>
      <c r="F12" s="17" t="s">
        <v>65</v>
      </c>
      <c r="G12" s="34">
        <v>25000</v>
      </c>
    </row>
    <row r="13" spans="1:7" x14ac:dyDescent="0.25">
      <c r="F13" s="17" t="s">
        <v>64</v>
      </c>
      <c r="G13" s="34">
        <v>26000</v>
      </c>
    </row>
    <row r="14" spans="1:7" x14ac:dyDescent="0.25">
      <c r="B14" s="33" t="s">
        <v>102</v>
      </c>
      <c r="C14" s="35">
        <f>SUM(Articles!F:F)</f>
        <v>1365</v>
      </c>
      <c r="F14" s="17" t="s">
        <v>63</v>
      </c>
      <c r="G14" s="34">
        <v>23000</v>
      </c>
    </row>
    <row r="15" spans="1:7" x14ac:dyDescent="0.25">
      <c r="B15" s="33" t="s">
        <v>103</v>
      </c>
      <c r="C15" s="14">
        <f>COUNTIF(Commandes!J2:J10,"Open")</f>
        <v>5</v>
      </c>
      <c r="F15" s="17" t="s">
        <v>62</v>
      </c>
      <c r="G15" s="34">
        <v>22000</v>
      </c>
    </row>
    <row r="16" spans="1:7" x14ac:dyDescent="0.25">
      <c r="B16" s="33" t="s">
        <v>104</v>
      </c>
      <c r="C16" s="14">
        <f>COUNTIF(Articles!H2:H12,1)</f>
        <v>1</v>
      </c>
      <c r="F16" s="17" t="s">
        <v>61</v>
      </c>
      <c r="G16" s="34">
        <v>28000</v>
      </c>
    </row>
    <row r="17" spans="1:7" x14ac:dyDescent="0.25">
      <c r="B17" s="33" t="s">
        <v>105</v>
      </c>
      <c r="C17" s="14">
        <f>COUNTIF(Articles!J2:J12,"Activé")</f>
        <v>0</v>
      </c>
      <c r="F17" s="17" t="s">
        <v>60</v>
      </c>
      <c r="G17" s="34">
        <v>35000</v>
      </c>
    </row>
    <row r="18" spans="1:7" ht="12.75" customHeight="1" x14ac:dyDescent="0.25">
      <c r="B18" s="33" t="s">
        <v>106</v>
      </c>
      <c r="C18" s="14">
        <f>SUM(Articles!E:E)</f>
        <v>49</v>
      </c>
      <c r="F18" s="17" t="s">
        <v>59</v>
      </c>
      <c r="G18" s="34">
        <v>29000</v>
      </c>
    </row>
    <row r="19" spans="1:7" ht="12.75" customHeight="1" x14ac:dyDescent="0.25">
      <c r="B19" s="105" t="s">
        <v>107</v>
      </c>
      <c r="C19" s="14" t="str">
        <f>IFERROR(INDEX(Booking!F2:F5,MATCH(1,Booking!H2:H5,0)),"")</f>
        <v>ART-00001</v>
      </c>
    </row>
    <row r="20" spans="1:7" ht="12" customHeight="1" x14ac:dyDescent="0.25">
      <c r="B20" s="105"/>
      <c r="C20" s="14" t="str">
        <f>IFERROR(INDEX(Booking!F2:F5,MATCH(2,Booking!H2:H5,0)),"")</f>
        <v/>
      </c>
    </row>
    <row r="21" spans="1:7" ht="11.25" customHeight="1" x14ac:dyDescent="0.25">
      <c r="B21" s="105"/>
      <c r="C21" s="14" t="str">
        <f>IFERROR(INDEX(Booking!F2:F5,MATCH(3,Booking!H2:H5,0)),"")</f>
        <v/>
      </c>
    </row>
    <row r="23" spans="1:7" x14ac:dyDescent="0.25">
      <c r="A23" s="32" t="s">
        <v>125</v>
      </c>
    </row>
    <row r="24" spans="1:7" x14ac:dyDescent="0.25">
      <c r="B24" s="52"/>
      <c r="C24" s="55"/>
    </row>
    <row r="25" spans="1:7" x14ac:dyDescent="0.25">
      <c r="B25" s="53" t="s">
        <v>126</v>
      </c>
      <c r="C25" s="56" t="s">
        <v>109</v>
      </c>
    </row>
    <row r="26" spans="1:7" x14ac:dyDescent="0.25">
      <c r="B26" s="53" t="s">
        <v>127</v>
      </c>
      <c r="C26" s="56" t="s">
        <v>133</v>
      </c>
    </row>
    <row r="27" spans="1:7" x14ac:dyDescent="0.25">
      <c r="B27" s="53" t="s">
        <v>72</v>
      </c>
      <c r="C27" s="56">
        <v>10000</v>
      </c>
    </row>
    <row r="28" spans="1:7" x14ac:dyDescent="0.25">
      <c r="B28" s="53" t="s">
        <v>128</v>
      </c>
      <c r="C28" s="56" t="str">
        <f>_xlfn.XLOOKUP($C$27,G5:G18,F5:F18,"")</f>
        <v>Dakar</v>
      </c>
    </row>
    <row r="29" spans="1:7" x14ac:dyDescent="0.25">
      <c r="B29" s="53" t="s">
        <v>129</v>
      </c>
      <c r="C29" s="56" t="s">
        <v>134</v>
      </c>
    </row>
    <row r="30" spans="1:7" x14ac:dyDescent="0.25">
      <c r="B30" s="53" t="s">
        <v>130</v>
      </c>
      <c r="C30" s="56">
        <v>781883408</v>
      </c>
    </row>
    <row r="31" spans="1:7" ht="22.5" x14ac:dyDescent="0.25">
      <c r="B31" s="53" t="s">
        <v>30</v>
      </c>
      <c r="C31" s="58" t="s">
        <v>29</v>
      </c>
    </row>
    <row r="33" spans="1:3" x14ac:dyDescent="0.25">
      <c r="A33" s="32" t="s">
        <v>131</v>
      </c>
      <c r="B33" s="46"/>
      <c r="C33" s="57"/>
    </row>
    <row r="35" spans="1:3" ht="75" customHeight="1" x14ac:dyDescent="0.25">
      <c r="A35" s="106" t="s">
        <v>132</v>
      </c>
      <c r="B35" s="106"/>
      <c r="C35" s="106"/>
    </row>
  </sheetData>
  <mergeCells count="3">
    <mergeCell ref="F4:G4"/>
    <mergeCell ref="B19:B21"/>
    <mergeCell ref="A35:C35"/>
  </mergeCells>
  <hyperlinks>
    <hyperlink ref="C31" r:id="rId1" xr:uid="{BA557A09-3557-4690-BE01-AA79D2E868A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16</vt:i4>
      </vt:variant>
    </vt:vector>
  </HeadingPairs>
  <TitlesOfParts>
    <vt:vector size="26" baseType="lpstr">
      <vt:lpstr>Home</vt:lpstr>
      <vt:lpstr>Articles</vt:lpstr>
      <vt:lpstr>NN</vt:lpstr>
      <vt:lpstr>Feuil2</vt:lpstr>
      <vt:lpstr>Commandes</vt:lpstr>
      <vt:lpstr>B.Cmd</vt:lpstr>
      <vt:lpstr>Booking</vt:lpstr>
      <vt:lpstr>Fournisseurs</vt:lpstr>
      <vt:lpstr>Clients</vt:lpstr>
      <vt:lpstr>Config</vt:lpstr>
      <vt:lpstr>A</vt:lpstr>
      <vt:lpstr>Articles</vt:lpstr>
      <vt:lpstr>Client</vt:lpstr>
      <vt:lpstr>Cmd</vt:lpstr>
      <vt:lpstr>Fournisseur</vt:lpstr>
      <vt:lpstr>Fournisseurs</vt:lpstr>
      <vt:lpstr>Nombre</vt:lpstr>
      <vt:lpstr>Ord</vt:lpstr>
      <vt:lpstr>Orde</vt:lpstr>
      <vt:lpstr>Order</vt:lpstr>
      <vt:lpstr>Order1</vt:lpstr>
      <vt:lpstr>part_name</vt:lpstr>
      <vt:lpstr>part_prix</vt:lpstr>
      <vt:lpstr>Type</vt:lpstr>
      <vt:lpstr>B.Cmd!Zone_d_impression</vt:lpstr>
      <vt:lpstr>Feuil2!Zone_d_impression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Lurielgeorgy Raviny DIKATSOU</dc:creator>
  <cp:lastModifiedBy>Lurielgeorgy Raviny DIKATSOU</cp:lastModifiedBy>
  <cp:lastPrinted>2026-04-25T20:30:28Z</cp:lastPrinted>
  <dcterms:created xsi:type="dcterms:W3CDTF">2037-04-16T16:47:44Z</dcterms:created>
  <dcterms:modified xsi:type="dcterms:W3CDTF">2026-04-25T20:31:09Z</dcterms:modified>
</cp:coreProperties>
</file>